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772020F5-C965-4D6A-BE57-E0845CA08AF3}" xr6:coauthVersionLast="47" xr6:coauthVersionMax="47" xr10:uidLastSave="{00000000-0000-0000-0000-000000000000}"/>
  <bookViews>
    <workbookView xWindow="-120" yWindow="-120" windowWidth="20730" windowHeight="11160" tabRatio="890" firstSheet="1" activeTab="6" xr2:uid="{00000000-000D-0000-FFFF-FFFF00000000}"/>
  </bookViews>
  <sheets>
    <sheet name="Monthly Trend" sheetId="6" r:id="rId1"/>
    <sheet name="Sentiment" sheetId="10" r:id="rId2"/>
    <sheet name="Raw Data" sheetId="1" r:id="rId3"/>
    <sheet name="Instructions" sheetId="13" r:id="rId4"/>
    <sheet name="Rating" sheetId="2" r:id="rId5"/>
    <sheet name=" Feedback by Product" sheetId="3" r:id="rId6"/>
    <sheet name="Dashboard" sheetId="8" r:id="rId7"/>
  </sheets>
  <calcPr calcId="191029"/>
  <pivotCaches>
    <pivotCache cacheId="0" r:id="rId8"/>
    <pivotCache cacheId="1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6" i="8" l="1"/>
  <c r="N6" i="8"/>
  <c r="U6" i="8"/>
  <c r="T6" i="8"/>
  <c r="Q6" i="8"/>
  <c r="S6" i="8"/>
  <c r="H4" i="10"/>
  <c r="G5" i="10"/>
  <c r="G4" i="10"/>
  <c r="B6" i="8"/>
  <c r="E6" i="8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H6" i="8" l="1"/>
  <c r="K6" i="8"/>
</calcChain>
</file>

<file path=xl/sharedStrings.xml><?xml version="1.0" encoding="utf-8"?>
<sst xmlns="http://schemas.openxmlformats.org/spreadsheetml/2006/main" count="2121" uniqueCount="605">
  <si>
    <t>Feedback ID</t>
  </si>
  <si>
    <t>Customer Name</t>
  </si>
  <si>
    <t>Product</t>
  </si>
  <si>
    <t>Rating</t>
  </si>
  <si>
    <t>Feedback Text</t>
  </si>
  <si>
    <t>Date of Feedback</t>
  </si>
  <si>
    <t>FB1782</t>
  </si>
  <si>
    <t>FB2178</t>
  </si>
  <si>
    <t>FB9986</t>
  </si>
  <si>
    <t>FB8081</t>
  </si>
  <si>
    <t>FB2281</t>
  </si>
  <si>
    <t>FB3263</t>
  </si>
  <si>
    <t>FB2422</t>
  </si>
  <si>
    <t>FB8270</t>
  </si>
  <si>
    <t>FB4080</t>
  </si>
  <si>
    <t>FB4799</t>
  </si>
  <si>
    <t>FB3103</t>
  </si>
  <si>
    <t>FB6287</t>
  </si>
  <si>
    <t>FB1882</t>
  </si>
  <si>
    <t>FB7516</t>
  </si>
  <si>
    <t>FB2316</t>
  </si>
  <si>
    <t>FB3277</t>
  </si>
  <si>
    <t>FB8760</t>
  </si>
  <si>
    <t>FB9092</t>
  </si>
  <si>
    <t>FB3044</t>
  </si>
  <si>
    <t>FB1603</t>
  </si>
  <si>
    <t>FB1032</t>
  </si>
  <si>
    <t>FB7106</t>
  </si>
  <si>
    <t>FB2582</t>
  </si>
  <si>
    <t>FB2329</t>
  </si>
  <si>
    <t>FB1549</t>
  </si>
  <si>
    <t>FB7924</t>
  </si>
  <si>
    <t>FB5879</t>
  </si>
  <si>
    <t>FB2368</t>
  </si>
  <si>
    <t>FB6037</t>
  </si>
  <si>
    <t>FB2287</t>
  </si>
  <si>
    <t>FB3720</t>
  </si>
  <si>
    <t>FB2883</t>
  </si>
  <si>
    <t>FB5823</t>
  </si>
  <si>
    <t>FB9710</t>
  </si>
  <si>
    <t>FB6457</t>
  </si>
  <si>
    <t>FB8418</t>
  </si>
  <si>
    <t>FB8236</t>
  </si>
  <si>
    <t>FB6407</t>
  </si>
  <si>
    <t>FB7942</t>
  </si>
  <si>
    <t>FB7296</t>
  </si>
  <si>
    <t>FB9844</t>
  </si>
  <si>
    <t>FB1712</t>
  </si>
  <si>
    <t>FB1411</t>
  </si>
  <si>
    <t>FB7532</t>
  </si>
  <si>
    <t>FB2115</t>
  </si>
  <si>
    <t>FB8962</t>
  </si>
  <si>
    <t>FB4448</t>
  </si>
  <si>
    <t>FB6140</t>
  </si>
  <si>
    <t>FB4941</t>
  </si>
  <si>
    <t>FB3476</t>
  </si>
  <si>
    <t>FB5798</t>
  </si>
  <si>
    <t>FB1717</t>
  </si>
  <si>
    <t>FB6700</t>
  </si>
  <si>
    <t>FB4071</t>
  </si>
  <si>
    <t>FB8796</t>
  </si>
  <si>
    <t>FB2391</t>
  </si>
  <si>
    <t>FB4286</t>
  </si>
  <si>
    <t>FB9399</t>
  </si>
  <si>
    <t>FB6763</t>
  </si>
  <si>
    <t>FB6783</t>
  </si>
  <si>
    <t>FB8940</t>
  </si>
  <si>
    <t>FB7852</t>
  </si>
  <si>
    <t>FB4282</t>
  </si>
  <si>
    <t>FB8712</t>
  </si>
  <si>
    <t>FB3652</t>
  </si>
  <si>
    <t>FB2429</t>
  </si>
  <si>
    <t>FB6376</t>
  </si>
  <si>
    <t>FB4591</t>
  </si>
  <si>
    <t>FB4553</t>
  </si>
  <si>
    <t>FB3534</t>
  </si>
  <si>
    <t>FB5280</t>
  </si>
  <si>
    <t>FB1730</t>
  </si>
  <si>
    <t>FB8296</t>
  </si>
  <si>
    <t>FB2828</t>
  </si>
  <si>
    <t>FB4590</t>
  </si>
  <si>
    <t>FB9536</t>
  </si>
  <si>
    <t>FB9511</t>
  </si>
  <si>
    <t>FB5986</t>
  </si>
  <si>
    <t>FB5271</t>
  </si>
  <si>
    <t>FB5359</t>
  </si>
  <si>
    <t>FB9743</t>
  </si>
  <si>
    <t>FB3222</t>
  </si>
  <si>
    <t>FB3102</t>
  </si>
  <si>
    <t>FB3210</t>
  </si>
  <si>
    <t>FB2650</t>
  </si>
  <si>
    <t>FB1652</t>
  </si>
  <si>
    <t>FB9572</t>
  </si>
  <si>
    <t>FB9623</t>
  </si>
  <si>
    <t>FB5779</t>
  </si>
  <si>
    <t>FB9142</t>
  </si>
  <si>
    <t>FB7117</t>
  </si>
  <si>
    <t>FB1084</t>
  </si>
  <si>
    <t>FB6600</t>
  </si>
  <si>
    <t>FB1769</t>
  </si>
  <si>
    <t>FB2797</t>
  </si>
  <si>
    <t>FB8293</t>
  </si>
  <si>
    <t>FB5697</t>
  </si>
  <si>
    <t>FB6280</t>
  </si>
  <si>
    <t>FB6739</t>
  </si>
  <si>
    <t>FB8370</t>
  </si>
  <si>
    <t>FB3319</t>
  </si>
  <si>
    <t>FB4572</t>
  </si>
  <si>
    <t>FB2919</t>
  </si>
  <si>
    <t>FB8996</t>
  </si>
  <si>
    <t>FB7673</t>
  </si>
  <si>
    <t>FB9575</t>
  </si>
  <si>
    <t>FB3644</t>
  </si>
  <si>
    <t>FB1028</t>
  </si>
  <si>
    <t>FB9613</t>
  </si>
  <si>
    <t>FB6269</t>
  </si>
  <si>
    <t>FB7097</t>
  </si>
  <si>
    <t>FB7426</t>
  </si>
  <si>
    <t>FB1761</t>
  </si>
  <si>
    <t>FB8112</t>
  </si>
  <si>
    <t>FB6624</t>
  </si>
  <si>
    <t>FB2077</t>
  </si>
  <si>
    <t>FB8696</t>
  </si>
  <si>
    <t>FB2682</t>
  </si>
  <si>
    <t>FB9537</t>
  </si>
  <si>
    <t>FB1346</t>
  </si>
  <si>
    <t>FB3725</t>
  </si>
  <si>
    <t>FB8471</t>
  </si>
  <si>
    <t>FB7523</t>
  </si>
  <si>
    <t>FB7445</t>
  </si>
  <si>
    <t>FB9350</t>
  </si>
  <si>
    <t>FB4217</t>
  </si>
  <si>
    <t>FB7060</t>
  </si>
  <si>
    <t>FB3286</t>
  </si>
  <si>
    <t>FB8943</t>
  </si>
  <si>
    <t>FB3690</t>
  </si>
  <si>
    <t>FB3684</t>
  </si>
  <si>
    <t>FB3174</t>
  </si>
  <si>
    <t>FB7780</t>
  </si>
  <si>
    <t>FB9013</t>
  </si>
  <si>
    <t>FB1532</t>
  </si>
  <si>
    <t>FB4043</t>
  </si>
  <si>
    <t>FB7486</t>
  </si>
  <si>
    <t>FB5882</t>
  </si>
  <si>
    <t>FB6472</t>
  </si>
  <si>
    <t>FB9905</t>
  </si>
  <si>
    <t>FB9177</t>
  </si>
  <si>
    <t>FB7147</t>
  </si>
  <si>
    <t>FB2633</t>
  </si>
  <si>
    <t>FB7891</t>
  </si>
  <si>
    <t>FB4306</t>
  </si>
  <si>
    <t>FB6293</t>
  </si>
  <si>
    <t>FB1116</t>
  </si>
  <si>
    <t>FB9685</t>
  </si>
  <si>
    <t>FB9734</t>
  </si>
  <si>
    <t>FB7901</t>
  </si>
  <si>
    <t>FB7699</t>
  </si>
  <si>
    <t>FB7830</t>
  </si>
  <si>
    <t>FB1358</t>
  </si>
  <si>
    <t>FB6157</t>
  </si>
  <si>
    <t>FB2340</t>
  </si>
  <si>
    <t>FB5194</t>
  </si>
  <si>
    <t>FB4857</t>
  </si>
  <si>
    <t>FB7027</t>
  </si>
  <si>
    <t>FB8223</t>
  </si>
  <si>
    <t>FB9064</t>
  </si>
  <si>
    <t>FB4911</t>
  </si>
  <si>
    <t>FB6506</t>
  </si>
  <si>
    <t>FB9948</t>
  </si>
  <si>
    <t>FB5817</t>
  </si>
  <si>
    <t>FB8299</t>
  </si>
  <si>
    <t>FB7737</t>
  </si>
  <si>
    <t>FB7520</t>
  </si>
  <si>
    <t>FB1815</t>
  </si>
  <si>
    <t>FB1345</t>
  </si>
  <si>
    <t>FB1975</t>
  </si>
  <si>
    <t>FB3304</t>
  </si>
  <si>
    <t>FB9532</t>
  </si>
  <si>
    <t>FB4920</t>
  </si>
  <si>
    <t>FB6336</t>
  </si>
  <si>
    <t>FB7144</t>
  </si>
  <si>
    <t>FB4251</t>
  </si>
  <si>
    <t>FB7038</t>
  </si>
  <si>
    <t>FB3772</t>
  </si>
  <si>
    <t>FB2560</t>
  </si>
  <si>
    <t>FB2029</t>
  </si>
  <si>
    <t>FB2292</t>
  </si>
  <si>
    <t>FB8047</t>
  </si>
  <si>
    <t>FB7228</t>
  </si>
  <si>
    <t>FB2432</t>
  </si>
  <si>
    <t>FB4213</t>
  </si>
  <si>
    <t>FB3661</t>
  </si>
  <si>
    <t>FB3350</t>
  </si>
  <si>
    <t>FB7035</t>
  </si>
  <si>
    <t>FB8195</t>
  </si>
  <si>
    <t>FB3143</t>
  </si>
  <si>
    <t>FB9501</t>
  </si>
  <si>
    <t>FB8253</t>
  </si>
  <si>
    <t>FB3227</t>
  </si>
  <si>
    <t>FB2552</t>
  </si>
  <si>
    <t>FB1255</t>
  </si>
  <si>
    <t>FB8410</t>
  </si>
  <si>
    <t>FB7786</t>
  </si>
  <si>
    <t>FB7847</t>
  </si>
  <si>
    <t>FB2729</t>
  </si>
  <si>
    <t>FB4609</t>
  </si>
  <si>
    <t>FB2028</t>
  </si>
  <si>
    <t>FB9499</t>
  </si>
  <si>
    <t>FB8177</t>
  </si>
  <si>
    <t>FB8267</t>
  </si>
  <si>
    <t>FB9257</t>
  </si>
  <si>
    <t>FB9863</t>
  </si>
  <si>
    <t>FB4846</t>
  </si>
  <si>
    <t>FB2481</t>
  </si>
  <si>
    <t>FB4313</t>
  </si>
  <si>
    <t>FB5667</t>
  </si>
  <si>
    <t>FB1807</t>
  </si>
  <si>
    <t>FB9824</t>
  </si>
  <si>
    <t>FB5563</t>
  </si>
  <si>
    <t>FB6290</t>
  </si>
  <si>
    <t>FB7517</t>
  </si>
  <si>
    <t>FB5048</t>
  </si>
  <si>
    <t>FB4118</t>
  </si>
  <si>
    <t>FB7179</t>
  </si>
  <si>
    <t>FB1974</t>
  </si>
  <si>
    <t>FB1665</t>
  </si>
  <si>
    <t>FB6621</t>
  </si>
  <si>
    <t>FB1237</t>
  </si>
  <si>
    <t>FB9342</t>
  </si>
  <si>
    <t>FB2732</t>
  </si>
  <si>
    <t>FB2861</t>
  </si>
  <si>
    <t>FB3136</t>
  </si>
  <si>
    <t>FB4770</t>
  </si>
  <si>
    <t>FB9906</t>
  </si>
  <si>
    <t>FB6816</t>
  </si>
  <si>
    <t>FB1979</t>
  </si>
  <si>
    <t>FB2915</t>
  </si>
  <si>
    <t>FB7290</t>
  </si>
  <si>
    <t>FB5514</t>
  </si>
  <si>
    <t>FB5079</t>
  </si>
  <si>
    <t>FB8896</t>
  </si>
  <si>
    <t>FB2504</t>
  </si>
  <si>
    <t>FB4842</t>
  </si>
  <si>
    <t>FB7167</t>
  </si>
  <si>
    <t>FB2078</t>
  </si>
  <si>
    <t>FB3771</t>
  </si>
  <si>
    <t>FB5322</t>
  </si>
  <si>
    <t>FB6776</t>
  </si>
  <si>
    <t>FB2707</t>
  </si>
  <si>
    <t>FB7443</t>
  </si>
  <si>
    <t>FB2538</t>
  </si>
  <si>
    <t>FB5904</t>
  </si>
  <si>
    <t>FB3932</t>
  </si>
  <si>
    <t>FB9657</t>
  </si>
  <si>
    <t>FB7461</t>
  </si>
  <si>
    <t>FB9004</t>
  </si>
  <si>
    <t>FB4516</t>
  </si>
  <si>
    <t>FB2096</t>
  </si>
  <si>
    <t>FB4102</t>
  </si>
  <si>
    <t>FB2464</t>
  </si>
  <si>
    <t>FB1884</t>
  </si>
  <si>
    <t>FB3175</t>
  </si>
  <si>
    <t>FB4656</t>
  </si>
  <si>
    <t>FB8445</t>
  </si>
  <si>
    <t>FB8586</t>
  </si>
  <si>
    <t>FB3731</t>
  </si>
  <si>
    <t>FB2778</t>
  </si>
  <si>
    <t>FB4440</t>
  </si>
  <si>
    <t>FB7537</t>
  </si>
  <si>
    <t>FB7599</t>
  </si>
  <si>
    <t>FB1325</t>
  </si>
  <si>
    <t>FB3866</t>
  </si>
  <si>
    <t>FB3199</t>
  </si>
  <si>
    <t>FB6378</t>
  </si>
  <si>
    <t>FB1250</t>
  </si>
  <si>
    <t>FB5708</t>
  </si>
  <si>
    <t>FB5154</t>
  </si>
  <si>
    <t>FB1580</t>
  </si>
  <si>
    <t>FB1373</t>
  </si>
  <si>
    <t>FB4606</t>
  </si>
  <si>
    <t>FB3839</t>
  </si>
  <si>
    <t>FB4439</t>
  </si>
  <si>
    <t>FB7178</t>
  </si>
  <si>
    <t>FB2691</t>
  </si>
  <si>
    <t>FB1405</t>
  </si>
  <si>
    <t>FB6795</t>
  </si>
  <si>
    <t>FB4476</t>
  </si>
  <si>
    <t>FB9401</t>
  </si>
  <si>
    <t>FB1686</t>
  </si>
  <si>
    <t>FB6298</t>
  </si>
  <si>
    <t>FB7984</t>
  </si>
  <si>
    <t>FB1235</t>
  </si>
  <si>
    <t>FB1568</t>
  </si>
  <si>
    <t>FB6059</t>
  </si>
  <si>
    <t>FB5518</t>
  </si>
  <si>
    <t>FB3434</t>
  </si>
  <si>
    <t>FB3439</t>
  </si>
  <si>
    <t>FB7271</t>
  </si>
  <si>
    <t>FB1594</t>
  </si>
  <si>
    <t>FB1795</t>
  </si>
  <si>
    <t>FB8757</t>
  </si>
  <si>
    <t>FB8521</t>
  </si>
  <si>
    <t>FB2181</t>
  </si>
  <si>
    <t>FB9891</t>
  </si>
  <si>
    <t>FB4216</t>
  </si>
  <si>
    <t>FB1520</t>
  </si>
  <si>
    <t>FB8832</t>
  </si>
  <si>
    <t>FB9935</t>
  </si>
  <si>
    <t>FB8872</t>
  </si>
  <si>
    <t>FB4565</t>
  </si>
  <si>
    <t>FB7348</t>
  </si>
  <si>
    <t>FB6890</t>
  </si>
  <si>
    <t>FB4613</t>
  </si>
  <si>
    <t>FB9807</t>
  </si>
  <si>
    <t>FB9277</t>
  </si>
  <si>
    <t>FB3528</t>
  </si>
  <si>
    <t>FB2350</t>
  </si>
  <si>
    <t>FB5403</t>
  </si>
  <si>
    <t>FB9224</t>
  </si>
  <si>
    <t>FB4050</t>
  </si>
  <si>
    <t>FB4702</t>
  </si>
  <si>
    <t>FB4089</t>
  </si>
  <si>
    <t>FB1336</t>
  </si>
  <si>
    <t>FB9652</t>
  </si>
  <si>
    <t>FB5380</t>
  </si>
  <si>
    <t>FB9970</t>
  </si>
  <si>
    <t>FB9346</t>
  </si>
  <si>
    <t>FB4193</t>
  </si>
  <si>
    <t>FB1286</t>
  </si>
  <si>
    <t>FB5337</t>
  </si>
  <si>
    <t>FB3355</t>
  </si>
  <si>
    <t>FB3022</t>
  </si>
  <si>
    <t>FB7873</t>
  </si>
  <si>
    <t>FB8489</t>
  </si>
  <si>
    <t>FB1887</t>
  </si>
  <si>
    <t>FB8893</t>
  </si>
  <si>
    <t>FB6054</t>
  </si>
  <si>
    <t>FB3363</t>
  </si>
  <si>
    <t>FB7750</t>
  </si>
  <si>
    <t>FB9445</t>
  </si>
  <si>
    <t>FB6215</t>
  </si>
  <si>
    <t>FB3920</t>
  </si>
  <si>
    <t>FB9227</t>
  </si>
  <si>
    <t>FB3545</t>
  </si>
  <si>
    <t>FB9602</t>
  </si>
  <si>
    <t>FB9589</t>
  </si>
  <si>
    <t>FB6887</t>
  </si>
  <si>
    <t>FB1908</t>
  </si>
  <si>
    <t>FB2912</t>
  </si>
  <si>
    <t>FB2601</t>
  </si>
  <si>
    <t>FB3091</t>
  </si>
  <si>
    <t>FB5591</t>
  </si>
  <si>
    <t>FB3658</t>
  </si>
  <si>
    <t>FB7600</t>
  </si>
  <si>
    <t>FB1182</t>
  </si>
  <si>
    <t>FB6650</t>
  </si>
  <si>
    <t>FB6155</t>
  </si>
  <si>
    <t>FB9468</t>
  </si>
  <si>
    <t>FB4918</t>
  </si>
  <si>
    <t>FB7431</t>
  </si>
  <si>
    <t>FB6588</t>
  </si>
  <si>
    <t>FB4992</t>
  </si>
  <si>
    <t>FB7720</t>
  </si>
  <si>
    <t>FB5491</t>
  </si>
  <si>
    <t>FB1952</t>
  </si>
  <si>
    <t>FB1841</t>
  </si>
  <si>
    <t>FB3592</t>
  </si>
  <si>
    <t>FB3239</t>
  </si>
  <si>
    <t>FB7307</t>
  </si>
  <si>
    <t>FB9983</t>
  </si>
  <si>
    <t>FB1291</t>
  </si>
  <si>
    <t>FB6162</t>
  </si>
  <si>
    <t>FB5912</t>
  </si>
  <si>
    <t>FB4108</t>
  </si>
  <si>
    <t>FB8897</t>
  </si>
  <si>
    <t>FB1216</t>
  </si>
  <si>
    <t>FB9735</t>
  </si>
  <si>
    <t>FB2097</t>
  </si>
  <si>
    <t>FB3614</t>
  </si>
  <si>
    <t>FB1142</t>
  </si>
  <si>
    <t>FB7316</t>
  </si>
  <si>
    <t>FB2672</t>
  </si>
  <si>
    <t>FB9924</t>
  </si>
  <si>
    <t>FB4634</t>
  </si>
  <si>
    <t>FB7016</t>
  </si>
  <si>
    <t>FB4785</t>
  </si>
  <si>
    <t>FB5305</t>
  </si>
  <si>
    <t>FB8495</t>
  </si>
  <si>
    <t>FB4137</t>
  </si>
  <si>
    <t>FB1327</t>
  </si>
  <si>
    <t>FB5327</t>
  </si>
  <si>
    <t>FB6025</t>
  </si>
  <si>
    <t>FB6858</t>
  </si>
  <si>
    <t>FB8143</t>
  </si>
  <si>
    <t>FB2680</t>
  </si>
  <si>
    <t>FB3800</t>
  </si>
  <si>
    <t>FB1978</t>
  </si>
  <si>
    <t>FB6832</t>
  </si>
  <si>
    <t>FB9357</t>
  </si>
  <si>
    <t>FB2581</t>
  </si>
  <si>
    <t>FB7922</t>
  </si>
  <si>
    <t>FB5557</t>
  </si>
  <si>
    <t>FB7059</t>
  </si>
  <si>
    <t>FB7345</t>
  </si>
  <si>
    <t>FB9119</t>
  </si>
  <si>
    <t>FB3589</t>
  </si>
  <si>
    <t>FB8015</t>
  </si>
  <si>
    <t>FB3074</t>
  </si>
  <si>
    <t>FB7386</t>
  </si>
  <si>
    <t>FB7893</t>
  </si>
  <si>
    <t>FB9158</t>
  </si>
  <si>
    <t>FB5722</t>
  </si>
  <si>
    <t>FB4626</t>
  </si>
  <si>
    <t>FB5512</t>
  </si>
  <si>
    <t>FB1301</t>
  </si>
  <si>
    <t>FB1799</t>
  </si>
  <si>
    <t>FB4747</t>
  </si>
  <si>
    <t>FB8679</t>
  </si>
  <si>
    <t>FB6566</t>
  </si>
  <si>
    <t>FB7832</t>
  </si>
  <si>
    <t>FB1072</t>
  </si>
  <si>
    <t>FB7800</t>
  </si>
  <si>
    <t>FB9021</t>
  </si>
  <si>
    <t>FB1454</t>
  </si>
  <si>
    <t>FB7108</t>
  </si>
  <si>
    <t>FB8780</t>
  </si>
  <si>
    <t>FB8140</t>
  </si>
  <si>
    <t>FB2783</t>
  </si>
  <si>
    <t>FB2046</t>
  </si>
  <si>
    <t>FB9916</t>
  </si>
  <si>
    <t>FB1781</t>
  </si>
  <si>
    <t>FB7749</t>
  </si>
  <si>
    <t>FB8997</t>
  </si>
  <si>
    <t>FB8498</t>
  </si>
  <si>
    <t>FB1290</t>
  </si>
  <si>
    <t>FB9546</t>
  </si>
  <si>
    <t>FB5090</t>
  </si>
  <si>
    <t>FB9580</t>
  </si>
  <si>
    <t>FB7324</t>
  </si>
  <si>
    <t>FB2741</t>
  </si>
  <si>
    <t>FB6678</t>
  </si>
  <si>
    <t>FB7872</t>
  </si>
  <si>
    <t>FB1947</t>
  </si>
  <si>
    <t>FB4056</t>
  </si>
  <si>
    <t>FB1655</t>
  </si>
  <si>
    <t>FB5854</t>
  </si>
  <si>
    <t>FB4532</t>
  </si>
  <si>
    <t>FB5107</t>
  </si>
  <si>
    <t>FB2357</t>
  </si>
  <si>
    <t>FB5881</t>
  </si>
  <si>
    <t>FB8040</t>
  </si>
  <si>
    <t>FB4719</t>
  </si>
  <si>
    <t>FB7433</t>
  </si>
  <si>
    <t>FB4098</t>
  </si>
  <si>
    <t>FB9713</t>
  </si>
  <si>
    <t>FB2920</t>
  </si>
  <si>
    <t>FB1582</t>
  </si>
  <si>
    <t>FB9538</t>
  </si>
  <si>
    <t>FB9437</t>
  </si>
  <si>
    <t>FB6706</t>
  </si>
  <si>
    <t>FB7378</t>
  </si>
  <si>
    <t>FB1465</t>
  </si>
  <si>
    <t>FB2295</t>
  </si>
  <si>
    <t>FB7803</t>
  </si>
  <si>
    <t>FB5665</t>
  </si>
  <si>
    <t>FB1030</t>
  </si>
  <si>
    <t>FB7069</t>
  </si>
  <si>
    <t>FB6649</t>
  </si>
  <si>
    <t>FB4256</t>
  </si>
  <si>
    <t>FB2683</t>
  </si>
  <si>
    <t>FB8775</t>
  </si>
  <si>
    <t>FB5853</t>
  </si>
  <si>
    <t>FB6213</t>
  </si>
  <si>
    <t>FB3191</t>
  </si>
  <si>
    <t>FB2990</t>
  </si>
  <si>
    <t>FB9559</t>
  </si>
  <si>
    <t>FB2509</t>
  </si>
  <si>
    <t>FB7555</t>
  </si>
  <si>
    <t>FB6346</t>
  </si>
  <si>
    <t>FB1685</t>
  </si>
  <si>
    <t>FB9625</t>
  </si>
  <si>
    <t>FB2209</t>
  </si>
  <si>
    <t>FB9230</t>
  </si>
  <si>
    <t>FB6744</t>
  </si>
  <si>
    <t>FB5660</t>
  </si>
  <si>
    <t>FB5211</t>
  </si>
  <si>
    <t>FB9106</t>
  </si>
  <si>
    <t>FB8817</t>
  </si>
  <si>
    <t>FB1770</t>
  </si>
  <si>
    <t>FB9921</t>
  </si>
  <si>
    <t>FB1140</t>
  </si>
  <si>
    <t>FB7422</t>
  </si>
  <si>
    <t>FB3517</t>
  </si>
  <si>
    <t>David Lee</t>
  </si>
  <si>
    <t>James Taylor</t>
  </si>
  <si>
    <t>Sophia Adams</t>
  </si>
  <si>
    <t>Mark Johnson</t>
  </si>
  <si>
    <t>Sarah Wilson</t>
  </si>
  <si>
    <t>Michael Brown</t>
  </si>
  <si>
    <t>Emily Davis</t>
  </si>
  <si>
    <t>Jane Smith</t>
  </si>
  <si>
    <t>Laura Clark</t>
  </si>
  <si>
    <t>John Doe</t>
  </si>
  <si>
    <t>Headphones</t>
  </si>
  <si>
    <t>Printer</t>
  </si>
  <si>
    <t>Camera</t>
  </si>
  <si>
    <t>Tablet</t>
  </si>
  <si>
    <t>Laptop</t>
  </si>
  <si>
    <t>Mouse</t>
  </si>
  <si>
    <t>Smartwatch</t>
  </si>
  <si>
    <t>Keyboard</t>
  </si>
  <si>
    <t>Monitor</t>
  </si>
  <si>
    <t>Smartphone</t>
  </si>
  <si>
    <t>Disappointed. The product arrived damaged.</t>
  </si>
  <si>
    <t>Perfect for my needs, exactly what I was looking for.</t>
  </si>
  <si>
    <t>The quality could be better, but it's decent for the price.</t>
  </si>
  <si>
    <t>Not satisfied with the product. Would not recommend.</t>
  </si>
  <si>
    <t>The product broke within a few weeks, not durable.</t>
  </si>
  <si>
    <t>It works fine, but there are better options available.</t>
  </si>
  <si>
    <t>Good product, but the delivery was late.</t>
  </si>
  <si>
    <t>Excellent product, really happy with the purchase!</t>
  </si>
  <si>
    <t>Great customer service, the product exceeded expectations.</t>
  </si>
  <si>
    <t>Great value for money, very reliable.</t>
  </si>
  <si>
    <t>Month</t>
  </si>
  <si>
    <t>Sentiment</t>
  </si>
  <si>
    <t>Row Labels</t>
  </si>
  <si>
    <t>Grand Total</t>
  </si>
  <si>
    <t>Count of Feedback ID</t>
  </si>
  <si>
    <t>Positive</t>
  </si>
  <si>
    <t>Sep-2024</t>
  </si>
  <si>
    <t>Jan-2025</t>
  </si>
  <si>
    <t>Jun-2025</t>
  </si>
  <si>
    <t>Aug-2024</t>
  </si>
  <si>
    <t>Mar-2025</t>
  </si>
  <si>
    <t>Dec-2024</t>
  </si>
  <si>
    <t>May-2025</t>
  </si>
  <si>
    <t>Oct-2024</t>
  </si>
  <si>
    <t>Aug-2025</t>
  </si>
  <si>
    <t>Jul-2025</t>
  </si>
  <si>
    <t>Apr-2025</t>
  </si>
  <si>
    <t>Feb-2025</t>
  </si>
  <si>
    <t>Nov-2024</t>
  </si>
  <si>
    <t>Customer Feedback Dashboard</t>
  </si>
  <si>
    <t>Negative</t>
  </si>
  <si>
    <t>Neutral</t>
  </si>
  <si>
    <r>
      <rPr>
        <b/>
        <sz val="14"/>
        <color theme="3" tint="-0.249977111117893"/>
        <rFont val="Calibri"/>
        <family val="2"/>
        <scheme val="minor"/>
      </rPr>
      <t>Negative Feedback</t>
    </r>
    <r>
      <rPr>
        <b/>
        <sz val="14"/>
        <color theme="1"/>
        <rFont val="Calibri"/>
        <family val="2"/>
        <scheme val="minor"/>
      </rPr>
      <t xml:space="preserve"> 😡</t>
    </r>
  </si>
  <si>
    <r>
      <rPr>
        <b/>
        <sz val="14"/>
        <color theme="3" tint="-0.249977111117893"/>
        <rFont val="Calibri"/>
        <family val="2"/>
        <scheme val="minor"/>
      </rPr>
      <t>Total Feedback</t>
    </r>
    <r>
      <rPr>
        <b/>
        <sz val="14"/>
        <color theme="1"/>
        <rFont val="Calibri"/>
        <family val="2"/>
        <scheme val="minor"/>
      </rPr>
      <t xml:space="preserve"> </t>
    </r>
    <r>
      <rPr>
        <b/>
        <sz val="14"/>
        <color theme="9" tint="-0.249977111117893"/>
        <rFont val="Calibri"/>
        <family val="2"/>
        <scheme val="minor"/>
      </rPr>
      <t>📦</t>
    </r>
  </si>
  <si>
    <r>
      <rPr>
        <b/>
        <sz val="14"/>
        <color theme="3" tint="-0.249977111117893"/>
        <rFont val="Calibri"/>
        <family val="2"/>
        <scheme val="minor"/>
      </rPr>
      <t>Average  Feedback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theme="5"/>
        <rFont val="Calibri"/>
        <family val="2"/>
        <scheme val="minor"/>
      </rPr>
      <t>⭐</t>
    </r>
  </si>
  <si>
    <t>CUSTOMER FEEDBACK DASHBOARD - USER GUIDE</t>
  </si>
  <si>
    <t>━━━━━━━━━━━━━━━━━━━━━━━━━━━━━━━━━━━━━━━━━━━━━━━━━</t>
  </si>
  <si>
    <t>OVERVIEW:</t>
  </si>
  <si>
    <t>This workbook contains analysis of 500 customer feedback records.</t>
  </si>
  <si>
    <t>It helps you understand customer satisfaction across different products.</t>
  </si>
  <si>
    <t>SHEETS IN THIS WORKBOOK:</t>
  </si>
  <si>
    <t>1. DASHBOARD</t>
  </si>
  <si>
    <t xml:space="preserve">   What: Main summary with key metrics and charts</t>
  </si>
  <si>
    <t xml:space="preserve">   Use: Start here for quick overview</t>
  </si>
  <si>
    <t xml:space="preserve">   Shows: Average rating, total feedback, sentiment breakdown</t>
  </si>
  <si>
    <t>2. SENTIMENT</t>
  </si>
  <si>
    <t xml:space="preserve">   What: Detailed breakdown by product and sentiment type</t>
  </si>
  <si>
    <t xml:space="preserve">   Use: Analyze which products get positive/negative/neutral feedback</t>
  </si>
  <si>
    <t xml:space="preserve">   Shows: Positive, Negative, Neutral counts per product</t>
  </si>
  <si>
    <t>3. RAW DATA</t>
  </si>
  <si>
    <t xml:space="preserve">   What: All 500 individual customer feedback records</t>
  </si>
  <si>
    <t xml:space="preserve">   Use: Read specific feedback, search for details</t>
  </si>
  <si>
    <t xml:space="preserve">   Columns: Feedback ID, Customer, Product, Rating, Text, Date, Sentiment</t>
  </si>
  <si>
    <t>4. MONTHLY TREND</t>
  </si>
  <si>
    <t xml:space="preserve">   What: How much feedback you get each month</t>
  </si>
  <si>
    <t xml:space="preserve">   Use: See if feedback is increasing or decreasing</t>
  </si>
  <si>
    <t xml:space="preserve">   Shows: Feedback volume by month</t>
  </si>
  <si>
    <t>5. RATING</t>
  </si>
  <si>
    <t xml:space="preserve">   What: Distribution of star ratings (1-5 stars)</t>
  </si>
  <si>
    <t xml:space="preserve">   Use: See how satisfied customers are overall</t>
  </si>
  <si>
    <t xml:space="preserve">   Shows: How many customers gave each rating</t>
  </si>
  <si>
    <t>6. FEEDBACK BY PRODUCT</t>
  </si>
  <si>
    <t xml:space="preserve">   What: Which products get the most feedback</t>
  </si>
  <si>
    <t xml:space="preserve">   Use: Identify popular or problematic products</t>
  </si>
  <si>
    <t xml:space="preserve">   Shows: Feedback count per product</t>
  </si>
  <si>
    <t>HOW TO USE THIS WORKBOOK:</t>
  </si>
  <si>
    <t>Step 1: Go to DASHBOARD sheet</t>
  </si>
  <si>
    <t xml:space="preserve">        Get quick overview of key metrics</t>
  </si>
  <si>
    <t>Step 2: Go to SENTIMENT sheet</t>
  </si>
  <si>
    <t xml:space="preserve">        Analyze which products have issues</t>
  </si>
  <si>
    <t>Step 3: Go to RAW DATA sheet</t>
  </si>
  <si>
    <t xml:space="preserve">        Read actual customer feedback</t>
  </si>
  <si>
    <t>Step 4: Use other sheets for deeper analysis</t>
  </si>
  <si>
    <t>KEY METRICS EXPLAINED:</t>
  </si>
  <si>
    <t>Average Feedback: Average rating given by customers (1-5 scale)</t>
  </si>
  <si>
    <t>Total Feedback: Total number of feedback records</t>
  </si>
  <si>
    <t>Positive Feedback: Count of ratings 4-5 (satisfied customers)</t>
  </si>
  <si>
    <t>Negative Feedback: Count of ratings 1-2 (unsatisfied customers)</t>
  </si>
  <si>
    <t>QUESTIONS?</t>
  </si>
  <si>
    <t>For help understanding this workbook, refer to the sheet descriptions above.</t>
  </si>
  <si>
    <t>All data is current as of the last update.</t>
  </si>
  <si>
    <t>Created for professional feedback analysis.</t>
  </si>
  <si>
    <t>Prodcuts</t>
  </si>
  <si>
    <t>Count of Feedback Number</t>
  </si>
  <si>
    <r>
      <t>Most Negative Feedback
 by product</t>
    </r>
    <r>
      <rPr>
        <b/>
        <sz val="12"/>
        <color theme="3" tint="-0.499984740745262"/>
        <rFont val="Calibri"/>
        <family val="2"/>
        <scheme val="minor"/>
      </rPr>
      <t xml:space="preserve"> 🤬</t>
    </r>
    <r>
      <rPr>
        <b/>
        <sz val="12"/>
        <color theme="9"/>
        <rFont val="Calibri"/>
        <family val="2"/>
        <scheme val="minor"/>
      </rPr>
      <t xml:space="preserve"> </t>
    </r>
  </si>
  <si>
    <r>
      <rPr>
        <b/>
        <sz val="14"/>
        <color theme="3" tint="-0.249977111117893"/>
        <rFont val="Calibri"/>
        <family val="2"/>
        <scheme val="minor"/>
      </rPr>
      <t xml:space="preserve">Positive Feedback </t>
    </r>
    <r>
      <rPr>
        <b/>
        <sz val="14"/>
        <color theme="5" tint="-0.249977111117893"/>
        <rFont val="Calibri"/>
        <family val="2"/>
        <scheme val="minor"/>
      </rPr>
      <t>😊</t>
    </r>
  </si>
  <si>
    <t>Highest Neutral
 Product</t>
  </si>
  <si>
    <r>
      <t xml:space="preserve">Most Positive Feedback
 by Product </t>
    </r>
    <r>
      <rPr>
        <b/>
        <sz val="12"/>
        <color theme="9" tint="-0.249977111117893"/>
        <rFont val="Calibri"/>
        <family val="2"/>
        <scheme val="minor"/>
      </rPr>
      <t>😊</t>
    </r>
  </si>
  <si>
    <t>Sentiment Analysis</t>
  </si>
  <si>
    <t>Monthly Trend</t>
  </si>
  <si>
    <t>Feedback By Products</t>
  </si>
  <si>
    <t>Count of Feedback By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</si>
</sst>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0.00;[Red]0.00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9" tint="-0.249977111117893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sz val="14"/>
      <color theme="5" tint="-0.249977111117893"/>
      <name val="Calibri"/>
      <family val="2"/>
      <scheme val="minor"/>
    </font>
    <font>
      <b/>
      <sz val="14"/>
      <color theme="3" tint="-0.249977111117893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9"/>
      <name val="Calibri"/>
      <family val="2"/>
      <scheme val="minor"/>
    </font>
    <font>
      <b/>
      <sz val="12"/>
      <color theme="3" tint="-0.499984740745262"/>
      <name val="Calibri"/>
      <family val="2"/>
      <scheme val="minor"/>
    </font>
    <font>
      <b/>
      <sz val="12"/>
      <color theme="9" tint="-0.249977111117893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2" xfId="0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0" fillId="4" borderId="0" xfId="0" applyFont="1" applyFill="1" applyAlignment="1">
      <alignment horizontal="center"/>
    </xf>
    <xf numFmtId="0" fontId="11" fillId="5" borderId="4" xfId="0" applyFont="1" applyFill="1" applyBorder="1" applyAlignment="1">
      <alignment horizontal="center" wrapText="1"/>
    </xf>
    <xf numFmtId="0" fontId="11" fillId="5" borderId="4" xfId="0" applyFont="1" applyFill="1" applyBorder="1" applyAlignment="1">
      <alignment horizontal="center"/>
    </xf>
    <xf numFmtId="0" fontId="11" fillId="5" borderId="12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165" fontId="4" fillId="3" borderId="9" xfId="0" applyNumberFormat="1" applyFont="1" applyFill="1" applyBorder="1" applyAlignment="1">
      <alignment horizontal="center" vertical="center"/>
    </xf>
    <xf numFmtId="165" fontId="4" fillId="3" borderId="11" xfId="0" applyNumberFormat="1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11" fillId="9" borderId="4" xfId="0" applyFont="1" applyFill="1" applyBorder="1" applyAlignment="1">
      <alignment horizontal="center" wrapText="1"/>
    </xf>
    <xf numFmtId="0" fontId="11" fillId="9" borderId="4" xfId="0" applyFont="1" applyFill="1" applyBorder="1" applyAlignment="1">
      <alignment horizontal="center"/>
    </xf>
    <xf numFmtId="0" fontId="11" fillId="9" borderId="12" xfId="0" applyFont="1" applyFill="1" applyBorder="1" applyAlignment="1">
      <alignment horizontal="center"/>
    </xf>
    <xf numFmtId="165" fontId="6" fillId="3" borderId="7" xfId="0" applyNumberFormat="1" applyFont="1" applyFill="1" applyBorder="1" applyAlignment="1">
      <alignment horizontal="center" vertical="center"/>
    </xf>
    <xf numFmtId="165" fontId="6" fillId="3" borderId="5" xfId="0" applyNumberFormat="1" applyFont="1" applyFill="1" applyBorder="1" applyAlignment="1">
      <alignment horizontal="center" vertical="center"/>
    </xf>
    <xf numFmtId="165" fontId="6" fillId="3" borderId="9" xfId="0" applyNumberFormat="1" applyFont="1" applyFill="1" applyBorder="1" applyAlignment="1">
      <alignment horizontal="center" vertical="center"/>
    </xf>
    <xf numFmtId="165" fontId="6" fillId="3" borderId="11" xfId="0" applyNumberFormat="1" applyFont="1" applyFill="1" applyBorder="1" applyAlignment="1">
      <alignment horizontal="center" vertical="center"/>
    </xf>
    <xf numFmtId="0" fontId="11" fillId="8" borderId="4" xfId="0" applyFont="1" applyFill="1" applyBorder="1" applyAlignment="1">
      <alignment horizontal="center" vertical="center" wrapText="1"/>
    </xf>
    <xf numFmtId="0" fontId="11" fillId="8" borderId="4" xfId="0" applyFont="1" applyFill="1" applyBorder="1" applyAlignment="1">
      <alignment horizontal="center" vertical="center"/>
    </xf>
    <xf numFmtId="0" fontId="11" fillId="8" borderId="12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2" fontId="6" fillId="7" borderId="2" xfId="0" applyNumberFormat="1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2" fontId="4" fillId="3" borderId="3" xfId="0" applyNumberFormat="1" applyFont="1" applyFill="1" applyBorder="1" applyAlignment="1">
      <alignment horizontal="center" vertical="center"/>
    </xf>
    <xf numFmtId="2" fontId="4" fillId="3" borderId="2" xfId="0" applyNumberFormat="1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6" fillId="10" borderId="0" xfId="0" applyFont="1" applyFill="1" applyAlignment="1">
      <alignment horizontal="center"/>
    </xf>
    <xf numFmtId="0" fontId="15" fillId="10" borderId="0" xfId="0" applyFont="1" applyFill="1" applyAlignment="1">
      <alignment horizontal="center"/>
    </xf>
    <xf numFmtId="0" fontId="15" fillId="10" borderId="0" xfId="0" applyFont="1" applyFill="1" applyAlignment="1">
      <alignment horizontal="center" vertical="center"/>
    </xf>
    <xf numFmtId="0" fontId="0" fillId="11" borderId="0" xfId="0" applyFill="1" applyAlignment="1">
      <alignment horizontal="center"/>
    </xf>
    <xf numFmtId="0" fontId="0" fillId="11" borderId="7" xfId="0" applyFill="1" applyBorder="1" applyAlignment="1">
      <alignment horizontal="center"/>
    </xf>
    <xf numFmtId="0" fontId="0" fillId="11" borderId="9" xfId="0" applyFill="1" applyBorder="1" applyAlignment="1">
      <alignment horizontal="center"/>
    </xf>
    <xf numFmtId="0" fontId="0" fillId="11" borderId="14" xfId="0" applyFill="1" applyBorder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6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9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no 2 feedback data.xlsx]Monthly Trend!PivotTable4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5400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14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solidFill>
              <a:srgbClr val="4F81BD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134667541557306"/>
          <c:y val="0.17171077573636628"/>
          <c:w val="0.74304177602799648"/>
          <c:h val="0.41776465441819771"/>
        </c:manualLayout>
      </c:layout>
      <c:lineChart>
        <c:grouping val="standard"/>
        <c:varyColors val="0"/>
        <c:ser>
          <c:idx val="0"/>
          <c:order val="0"/>
          <c:tx>
            <c:strRef>
              <c:f>'Monthly Trend'!$B$3</c:f>
              <c:strCache>
                <c:ptCount val="1"/>
                <c:pt idx="0">
                  <c:v>Total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14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solidFill>
                <a:srgbClr val="4F81BD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'Monthly Trend'!$A$4:$A$17</c:f>
              <c:strCache>
                <c:ptCount val="13"/>
                <c:pt idx="0">
                  <c:v>Apr-2025</c:v>
                </c:pt>
                <c:pt idx="1">
                  <c:v>Aug-2024</c:v>
                </c:pt>
                <c:pt idx="2">
                  <c:v>Aug-2025</c:v>
                </c:pt>
                <c:pt idx="3">
                  <c:v>Dec-2024</c:v>
                </c:pt>
                <c:pt idx="4">
                  <c:v>Feb-2025</c:v>
                </c:pt>
                <c:pt idx="5">
                  <c:v>Jan-2025</c:v>
                </c:pt>
                <c:pt idx="6">
                  <c:v>Jul-2025</c:v>
                </c:pt>
                <c:pt idx="7">
                  <c:v>Jun-2025</c:v>
                </c:pt>
                <c:pt idx="8">
                  <c:v>Mar-2025</c:v>
                </c:pt>
                <c:pt idx="9">
                  <c:v>May-2025</c:v>
                </c:pt>
                <c:pt idx="10">
                  <c:v>Nov-2024</c:v>
                </c:pt>
                <c:pt idx="11">
                  <c:v>Oct-2024</c:v>
                </c:pt>
                <c:pt idx="12">
                  <c:v>Sep-2024</c:v>
                </c:pt>
              </c:strCache>
            </c:strRef>
          </c:cat>
          <c:val>
            <c:numRef>
              <c:f>'Monthly Trend'!$B$4:$B$17</c:f>
              <c:numCache>
                <c:formatCode>General</c:formatCode>
                <c:ptCount val="13"/>
                <c:pt idx="0">
                  <c:v>42</c:v>
                </c:pt>
                <c:pt idx="1">
                  <c:v>23</c:v>
                </c:pt>
                <c:pt idx="2">
                  <c:v>26</c:v>
                </c:pt>
                <c:pt idx="3">
                  <c:v>40</c:v>
                </c:pt>
                <c:pt idx="4">
                  <c:v>43</c:v>
                </c:pt>
                <c:pt idx="5">
                  <c:v>43</c:v>
                </c:pt>
                <c:pt idx="6">
                  <c:v>39</c:v>
                </c:pt>
                <c:pt idx="7">
                  <c:v>35</c:v>
                </c:pt>
                <c:pt idx="8">
                  <c:v>41</c:v>
                </c:pt>
                <c:pt idx="9">
                  <c:v>45</c:v>
                </c:pt>
                <c:pt idx="10">
                  <c:v>40</c:v>
                </c:pt>
                <c:pt idx="11">
                  <c:v>45</c:v>
                </c:pt>
                <c:pt idx="12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D0-403C-B7CC-00C551B5443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659276895"/>
        <c:axId val="659297535"/>
      </c:lineChart>
      <c:catAx>
        <c:axId val="659276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9297535"/>
        <c:crosses val="autoZero"/>
        <c:auto val="1"/>
        <c:lblAlgn val="ctr"/>
        <c:lblOffset val="100"/>
        <c:noMultiLvlLbl val="0"/>
      </c:catAx>
      <c:valAx>
        <c:axId val="65929753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59276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no 2 feedback data.xlsx]Sentiment!PivotTable2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Sentiment!$B$3:$B$4</c:f>
              <c:strCache>
                <c:ptCount val="1"/>
                <c:pt idx="0">
                  <c:v>Negative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Sentiment!$A$5:$A$15</c:f>
              <c:strCache>
                <c:ptCount val="10"/>
                <c:pt idx="0">
                  <c:v>Camera</c:v>
                </c:pt>
                <c:pt idx="1">
                  <c:v>Headphones</c:v>
                </c:pt>
                <c:pt idx="2">
                  <c:v>Keyboard</c:v>
                </c:pt>
                <c:pt idx="3">
                  <c:v>Laptop</c:v>
                </c:pt>
                <c:pt idx="4">
                  <c:v>Monitor</c:v>
                </c:pt>
                <c:pt idx="5">
                  <c:v>Mouse</c:v>
                </c:pt>
                <c:pt idx="6">
                  <c:v>Printer</c:v>
                </c:pt>
                <c:pt idx="7">
                  <c:v>Smartphone</c:v>
                </c:pt>
                <c:pt idx="8">
                  <c:v>Smartwatch</c:v>
                </c:pt>
                <c:pt idx="9">
                  <c:v>Tablet</c:v>
                </c:pt>
              </c:strCache>
            </c:strRef>
          </c:cat>
          <c:val>
            <c:numRef>
              <c:f>Sentiment!$B$5:$B$15</c:f>
              <c:numCache>
                <c:formatCode>General</c:formatCode>
                <c:ptCount val="10"/>
                <c:pt idx="0">
                  <c:v>17</c:v>
                </c:pt>
                <c:pt idx="1">
                  <c:v>22</c:v>
                </c:pt>
                <c:pt idx="2">
                  <c:v>24</c:v>
                </c:pt>
                <c:pt idx="3">
                  <c:v>21</c:v>
                </c:pt>
                <c:pt idx="4">
                  <c:v>25</c:v>
                </c:pt>
                <c:pt idx="5">
                  <c:v>27</c:v>
                </c:pt>
                <c:pt idx="6">
                  <c:v>13</c:v>
                </c:pt>
                <c:pt idx="7">
                  <c:v>17</c:v>
                </c:pt>
                <c:pt idx="8">
                  <c:v>19</c:v>
                </c:pt>
                <c:pt idx="9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E7-476D-8B21-9456D0A33864}"/>
            </c:ext>
          </c:extLst>
        </c:ser>
        <c:ser>
          <c:idx val="1"/>
          <c:order val="1"/>
          <c:tx>
            <c:strRef>
              <c:f>Sentiment!$C$3:$C$4</c:f>
              <c:strCache>
                <c:ptCount val="1"/>
                <c:pt idx="0">
                  <c:v>Neutral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Sentiment!$A$5:$A$15</c:f>
              <c:strCache>
                <c:ptCount val="10"/>
                <c:pt idx="0">
                  <c:v>Camera</c:v>
                </c:pt>
                <c:pt idx="1">
                  <c:v>Headphones</c:v>
                </c:pt>
                <c:pt idx="2">
                  <c:v>Keyboard</c:v>
                </c:pt>
                <c:pt idx="3">
                  <c:v>Laptop</c:v>
                </c:pt>
                <c:pt idx="4">
                  <c:v>Monitor</c:v>
                </c:pt>
                <c:pt idx="5">
                  <c:v>Mouse</c:v>
                </c:pt>
                <c:pt idx="6">
                  <c:v>Printer</c:v>
                </c:pt>
                <c:pt idx="7">
                  <c:v>Smartphone</c:v>
                </c:pt>
                <c:pt idx="8">
                  <c:v>Smartwatch</c:v>
                </c:pt>
                <c:pt idx="9">
                  <c:v>Tablet</c:v>
                </c:pt>
              </c:strCache>
            </c:strRef>
          </c:cat>
          <c:val>
            <c:numRef>
              <c:f>Sentiment!$C$5:$C$15</c:f>
              <c:numCache>
                <c:formatCode>General</c:formatCode>
                <c:ptCount val="10"/>
                <c:pt idx="0">
                  <c:v>12</c:v>
                </c:pt>
                <c:pt idx="1">
                  <c:v>3</c:v>
                </c:pt>
                <c:pt idx="2">
                  <c:v>10</c:v>
                </c:pt>
                <c:pt idx="3">
                  <c:v>16</c:v>
                </c:pt>
                <c:pt idx="4">
                  <c:v>5</c:v>
                </c:pt>
                <c:pt idx="5">
                  <c:v>12</c:v>
                </c:pt>
                <c:pt idx="6">
                  <c:v>12</c:v>
                </c:pt>
                <c:pt idx="7">
                  <c:v>9</c:v>
                </c:pt>
                <c:pt idx="8">
                  <c:v>13</c:v>
                </c:pt>
                <c:pt idx="9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E7-476D-8B21-9456D0A33864}"/>
            </c:ext>
          </c:extLst>
        </c:ser>
        <c:ser>
          <c:idx val="2"/>
          <c:order val="2"/>
          <c:tx>
            <c:strRef>
              <c:f>Sentiment!$D$3:$D$4</c:f>
              <c:strCache>
                <c:ptCount val="1"/>
                <c:pt idx="0">
                  <c:v>Positive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Sentiment!$A$5:$A$15</c:f>
              <c:strCache>
                <c:ptCount val="10"/>
                <c:pt idx="0">
                  <c:v>Camera</c:v>
                </c:pt>
                <c:pt idx="1">
                  <c:v>Headphones</c:v>
                </c:pt>
                <c:pt idx="2">
                  <c:v>Keyboard</c:v>
                </c:pt>
                <c:pt idx="3">
                  <c:v>Laptop</c:v>
                </c:pt>
                <c:pt idx="4">
                  <c:v>Monitor</c:v>
                </c:pt>
                <c:pt idx="5">
                  <c:v>Mouse</c:v>
                </c:pt>
                <c:pt idx="6">
                  <c:v>Printer</c:v>
                </c:pt>
                <c:pt idx="7">
                  <c:v>Smartphone</c:v>
                </c:pt>
                <c:pt idx="8">
                  <c:v>Smartwatch</c:v>
                </c:pt>
                <c:pt idx="9">
                  <c:v>Tablet</c:v>
                </c:pt>
              </c:strCache>
            </c:strRef>
          </c:cat>
          <c:val>
            <c:numRef>
              <c:f>Sentiment!$D$5:$D$15</c:f>
              <c:numCache>
                <c:formatCode>General</c:formatCode>
                <c:ptCount val="10"/>
                <c:pt idx="0">
                  <c:v>20</c:v>
                </c:pt>
                <c:pt idx="1">
                  <c:v>17</c:v>
                </c:pt>
                <c:pt idx="2">
                  <c:v>20</c:v>
                </c:pt>
                <c:pt idx="3">
                  <c:v>27</c:v>
                </c:pt>
                <c:pt idx="4">
                  <c:v>18</c:v>
                </c:pt>
                <c:pt idx="5">
                  <c:v>19</c:v>
                </c:pt>
                <c:pt idx="6">
                  <c:v>18</c:v>
                </c:pt>
                <c:pt idx="7">
                  <c:v>20</c:v>
                </c:pt>
                <c:pt idx="8">
                  <c:v>19</c:v>
                </c:pt>
                <c:pt idx="9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7E7-476D-8B21-9456D0A3386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9"/>
        <c:shape val="box"/>
        <c:axId val="1841363552"/>
        <c:axId val="1841373632"/>
        <c:axId val="0"/>
      </c:bar3DChart>
      <c:catAx>
        <c:axId val="1841363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1373632"/>
        <c:crosses val="autoZero"/>
        <c:auto val="1"/>
        <c:lblAlgn val="ctr"/>
        <c:lblOffset val="100"/>
        <c:noMultiLvlLbl val="0"/>
      </c:catAx>
      <c:valAx>
        <c:axId val="184137363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841363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no 2 feedback data.xlsx]Rating!PivotTable1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Rating!$B$3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Rating!$A$4:$A$9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Rating!$B$4:$B$9</c:f>
              <c:numCache>
                <c:formatCode>General</c:formatCode>
                <c:ptCount val="5"/>
                <c:pt idx="0">
                  <c:v>100</c:v>
                </c:pt>
                <c:pt idx="1">
                  <c:v>108</c:v>
                </c:pt>
                <c:pt idx="2">
                  <c:v>101</c:v>
                </c:pt>
                <c:pt idx="3">
                  <c:v>100</c:v>
                </c:pt>
                <c:pt idx="4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29-4B63-A40E-BAB1FA8A98E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541976559"/>
        <c:axId val="541975599"/>
      </c:barChart>
      <c:catAx>
        <c:axId val="541976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975599"/>
        <c:crosses val="autoZero"/>
        <c:auto val="1"/>
        <c:lblAlgn val="ctr"/>
        <c:lblOffset val="100"/>
        <c:noMultiLvlLbl val="0"/>
      </c:catAx>
      <c:valAx>
        <c:axId val="541975599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541976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no 2 feedback data.xlsx] Feedback by Product!PivotTable2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 Feedback by Product'!$B$3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 Feedback by Product'!$A$4:$A$14</c:f>
              <c:strCache>
                <c:ptCount val="10"/>
                <c:pt idx="0">
                  <c:v>Camera</c:v>
                </c:pt>
                <c:pt idx="1">
                  <c:v>Headphones</c:v>
                </c:pt>
                <c:pt idx="2">
                  <c:v>Keyboard</c:v>
                </c:pt>
                <c:pt idx="3">
                  <c:v>Laptop</c:v>
                </c:pt>
                <c:pt idx="4">
                  <c:v>Monitor</c:v>
                </c:pt>
                <c:pt idx="5">
                  <c:v>Mouse</c:v>
                </c:pt>
                <c:pt idx="6">
                  <c:v>Printer</c:v>
                </c:pt>
                <c:pt idx="7">
                  <c:v>Smartphone</c:v>
                </c:pt>
                <c:pt idx="8">
                  <c:v>Smartwatch</c:v>
                </c:pt>
                <c:pt idx="9">
                  <c:v>Tablet</c:v>
                </c:pt>
              </c:strCache>
            </c:strRef>
          </c:cat>
          <c:val>
            <c:numRef>
              <c:f>' Feedback by Product'!$B$4:$B$14</c:f>
              <c:numCache>
                <c:formatCode>General</c:formatCode>
                <c:ptCount val="10"/>
                <c:pt idx="0">
                  <c:v>49</c:v>
                </c:pt>
                <c:pt idx="1">
                  <c:v>42</c:v>
                </c:pt>
                <c:pt idx="2">
                  <c:v>54</c:v>
                </c:pt>
                <c:pt idx="3">
                  <c:v>64</c:v>
                </c:pt>
                <c:pt idx="4">
                  <c:v>48</c:v>
                </c:pt>
                <c:pt idx="5">
                  <c:v>58</c:v>
                </c:pt>
                <c:pt idx="6">
                  <c:v>43</c:v>
                </c:pt>
                <c:pt idx="7">
                  <c:v>46</c:v>
                </c:pt>
                <c:pt idx="8">
                  <c:v>51</c:v>
                </c:pt>
                <c:pt idx="9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D5-4E5F-BF1B-2BD724F10D7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shape val="box"/>
        <c:axId val="659328735"/>
        <c:axId val="659304255"/>
        <c:axId val="0"/>
      </c:bar3DChart>
      <c:catAx>
        <c:axId val="6593287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9304255"/>
        <c:crosses val="autoZero"/>
        <c:auto val="1"/>
        <c:lblAlgn val="ctr"/>
        <c:lblOffset val="100"/>
        <c:noMultiLvlLbl val="0"/>
      </c:catAx>
      <c:valAx>
        <c:axId val="659304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9328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no 2 feedback data.xlsx]Rating!PivotTable1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6">
                  <a:shade val="51000"/>
                  <a:satMod val="130000"/>
                </a:schemeClr>
              </a:gs>
              <a:gs pos="80000">
                <a:schemeClr val="accent6">
                  <a:shade val="93000"/>
                  <a:satMod val="130000"/>
                </a:schemeClr>
              </a:gs>
              <a:gs pos="100000">
                <a:schemeClr val="accent6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Rating!$B$3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hade val="51000"/>
                    <a:satMod val="130000"/>
                  </a:schemeClr>
                </a:gs>
                <a:gs pos="80000">
                  <a:schemeClr val="accent6">
                    <a:shade val="93000"/>
                    <a:satMod val="130000"/>
                  </a:schemeClr>
                </a:gs>
                <a:gs pos="100000">
                  <a:schemeClr val="accent6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Rating!$A$4:$A$9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Rating!$B$4:$B$9</c:f>
              <c:numCache>
                <c:formatCode>General</c:formatCode>
                <c:ptCount val="5"/>
                <c:pt idx="0">
                  <c:v>100</c:v>
                </c:pt>
                <c:pt idx="1">
                  <c:v>108</c:v>
                </c:pt>
                <c:pt idx="2">
                  <c:v>101</c:v>
                </c:pt>
                <c:pt idx="3">
                  <c:v>100</c:v>
                </c:pt>
                <c:pt idx="4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79-4163-A21C-0ADF2434FAE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541976559"/>
        <c:axId val="541975599"/>
      </c:barChart>
      <c:catAx>
        <c:axId val="541976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975599"/>
        <c:crosses val="autoZero"/>
        <c:auto val="1"/>
        <c:lblAlgn val="ctr"/>
        <c:lblOffset val="100"/>
        <c:noMultiLvlLbl val="0"/>
      </c:catAx>
      <c:valAx>
        <c:axId val="541975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976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no 2 feedback data.xlsx]Sentiment!PivotTable2</c:name>
    <c:fmtId val="2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20"/>
        <c:spPr>
          <a:solidFill>
            <a:schemeClr val="accent2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21"/>
        <c:spPr>
          <a:solidFill>
            <a:schemeClr val="accent3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22"/>
        <c:spPr>
          <a:solidFill>
            <a:schemeClr val="accent4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23"/>
        <c:spPr>
          <a:solidFill>
            <a:schemeClr val="accent5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24"/>
        <c:spPr>
          <a:solidFill>
            <a:schemeClr val="accent6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25"/>
        <c:spPr>
          <a:solidFill>
            <a:schemeClr val="accent1">
              <a:lumMod val="6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26"/>
        <c:spPr>
          <a:solidFill>
            <a:schemeClr val="accent2">
              <a:lumMod val="6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27"/>
        <c:spPr>
          <a:solidFill>
            <a:schemeClr val="accent3">
              <a:lumMod val="6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28"/>
        <c:spPr>
          <a:solidFill>
            <a:schemeClr val="accent4">
              <a:lumMod val="6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30"/>
        <c:spPr>
          <a:solidFill>
            <a:schemeClr val="accent2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31"/>
        <c:spPr>
          <a:solidFill>
            <a:schemeClr val="accent3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32"/>
        <c:spPr>
          <a:solidFill>
            <a:schemeClr val="accent4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33"/>
        <c:spPr>
          <a:solidFill>
            <a:schemeClr val="accent5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34"/>
        <c:spPr>
          <a:solidFill>
            <a:schemeClr val="accent6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35"/>
        <c:spPr>
          <a:solidFill>
            <a:schemeClr val="accent1">
              <a:lumMod val="6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36"/>
        <c:spPr>
          <a:solidFill>
            <a:schemeClr val="accent2">
              <a:lumMod val="6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37"/>
        <c:spPr>
          <a:solidFill>
            <a:schemeClr val="accent3">
              <a:lumMod val="6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38"/>
        <c:spPr>
          <a:solidFill>
            <a:schemeClr val="accent4">
              <a:lumMod val="6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40"/>
        <c:spPr>
          <a:solidFill>
            <a:schemeClr val="accent2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41"/>
        <c:spPr>
          <a:solidFill>
            <a:schemeClr val="accent3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42"/>
        <c:spPr>
          <a:solidFill>
            <a:schemeClr val="accent4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43"/>
        <c:spPr>
          <a:solidFill>
            <a:schemeClr val="accent5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44"/>
        <c:spPr>
          <a:solidFill>
            <a:schemeClr val="accent6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45"/>
        <c:spPr>
          <a:solidFill>
            <a:schemeClr val="accent1">
              <a:lumMod val="6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46"/>
        <c:spPr>
          <a:solidFill>
            <a:schemeClr val="accent2">
              <a:lumMod val="6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47"/>
        <c:spPr>
          <a:solidFill>
            <a:schemeClr val="accent3">
              <a:lumMod val="6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48"/>
        <c:spPr>
          <a:solidFill>
            <a:schemeClr val="accent4">
              <a:lumMod val="6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Sentiment!$B$3:$B$4</c:f>
              <c:strCache>
                <c:ptCount val="1"/>
                <c:pt idx="0">
                  <c:v>Negative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0-5DE1-4B03-9C27-7B4F8853407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DE1-4B03-9C27-7B4F8853407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5DE1-4B03-9C27-7B4F8853407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DE1-4B03-9C27-7B4F8853407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5DE1-4B03-9C27-7B4F8853407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DE1-4B03-9C27-7B4F8853407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5DE1-4B03-9C27-7B4F8853407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DE1-4B03-9C27-7B4F8853407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5DE1-4B03-9C27-7B4F8853407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5DE1-4B03-9C27-7B4F8853407D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0-5DE1-4B03-9C27-7B4F8853407D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5DE1-4B03-9C27-7B4F8853407D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2-5DE1-4B03-9C27-7B4F8853407D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5DE1-4B03-9C27-7B4F8853407D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4-5DE1-4B03-9C27-7B4F8853407D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5DE1-4B03-9C27-7B4F8853407D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6-5DE1-4B03-9C27-7B4F8853407D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5DE1-4B03-9C27-7B4F8853407D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8-5DE1-4B03-9C27-7B4F8853407D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5DE1-4B03-9C27-7B4F8853407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Sentiment!$A$5:$A$15</c:f>
              <c:strCache>
                <c:ptCount val="10"/>
                <c:pt idx="0">
                  <c:v>Camera</c:v>
                </c:pt>
                <c:pt idx="1">
                  <c:v>Headphones</c:v>
                </c:pt>
                <c:pt idx="2">
                  <c:v>Keyboard</c:v>
                </c:pt>
                <c:pt idx="3">
                  <c:v>Laptop</c:v>
                </c:pt>
                <c:pt idx="4">
                  <c:v>Monitor</c:v>
                </c:pt>
                <c:pt idx="5">
                  <c:v>Mouse</c:v>
                </c:pt>
                <c:pt idx="6">
                  <c:v>Printer</c:v>
                </c:pt>
                <c:pt idx="7">
                  <c:v>Smartphone</c:v>
                </c:pt>
                <c:pt idx="8">
                  <c:v>Smartwatch</c:v>
                </c:pt>
                <c:pt idx="9">
                  <c:v>Tablet</c:v>
                </c:pt>
              </c:strCache>
            </c:strRef>
          </c:cat>
          <c:val>
            <c:numRef>
              <c:f>Sentiment!$B$5:$B$15</c:f>
              <c:numCache>
                <c:formatCode>General</c:formatCode>
                <c:ptCount val="10"/>
                <c:pt idx="0">
                  <c:v>17</c:v>
                </c:pt>
                <c:pt idx="1">
                  <c:v>22</c:v>
                </c:pt>
                <c:pt idx="2">
                  <c:v>24</c:v>
                </c:pt>
                <c:pt idx="3">
                  <c:v>21</c:v>
                </c:pt>
                <c:pt idx="4">
                  <c:v>25</c:v>
                </c:pt>
                <c:pt idx="5">
                  <c:v>27</c:v>
                </c:pt>
                <c:pt idx="6">
                  <c:v>13</c:v>
                </c:pt>
                <c:pt idx="7">
                  <c:v>17</c:v>
                </c:pt>
                <c:pt idx="8">
                  <c:v>19</c:v>
                </c:pt>
                <c:pt idx="9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7A-40D6-9ABD-9E64E2ACA92A}"/>
            </c:ext>
          </c:extLst>
        </c:ser>
        <c:ser>
          <c:idx val="1"/>
          <c:order val="1"/>
          <c:tx>
            <c:strRef>
              <c:f>Sentiment!$C$3:$C$4</c:f>
              <c:strCache>
                <c:ptCount val="1"/>
                <c:pt idx="0">
                  <c:v>Neutral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5DE1-4B03-9C27-7B4F8853407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5DE1-4B03-9C27-7B4F8853407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5DE1-4B03-9C27-7B4F8853407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5DE1-4B03-9C27-7B4F8853407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5DE1-4B03-9C27-7B4F8853407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5DE1-4B03-9C27-7B4F8853407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5DE1-4B03-9C27-7B4F8853407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5DE1-4B03-9C27-7B4F8853407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5DE1-4B03-9C27-7B4F8853407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5DE1-4B03-9C27-7B4F8853407D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A-5DE1-4B03-9C27-7B4F8853407D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5DE1-4B03-9C27-7B4F8853407D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C-5DE1-4B03-9C27-7B4F8853407D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5DE1-4B03-9C27-7B4F8853407D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E-5DE1-4B03-9C27-7B4F8853407D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5DE1-4B03-9C27-7B4F8853407D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0-5DE1-4B03-9C27-7B4F8853407D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5DE1-4B03-9C27-7B4F8853407D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2-5DE1-4B03-9C27-7B4F8853407D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5DE1-4B03-9C27-7B4F8853407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Sentiment!$A$5:$A$15</c:f>
              <c:strCache>
                <c:ptCount val="10"/>
                <c:pt idx="0">
                  <c:v>Camera</c:v>
                </c:pt>
                <c:pt idx="1">
                  <c:v>Headphones</c:v>
                </c:pt>
                <c:pt idx="2">
                  <c:v>Keyboard</c:v>
                </c:pt>
                <c:pt idx="3">
                  <c:v>Laptop</c:v>
                </c:pt>
                <c:pt idx="4">
                  <c:v>Monitor</c:v>
                </c:pt>
                <c:pt idx="5">
                  <c:v>Mouse</c:v>
                </c:pt>
                <c:pt idx="6">
                  <c:v>Printer</c:v>
                </c:pt>
                <c:pt idx="7">
                  <c:v>Smartphone</c:v>
                </c:pt>
                <c:pt idx="8">
                  <c:v>Smartwatch</c:v>
                </c:pt>
                <c:pt idx="9">
                  <c:v>Tablet</c:v>
                </c:pt>
              </c:strCache>
            </c:strRef>
          </c:cat>
          <c:val>
            <c:numRef>
              <c:f>Sentiment!$C$5:$C$15</c:f>
              <c:numCache>
                <c:formatCode>General</c:formatCode>
                <c:ptCount val="10"/>
                <c:pt idx="0">
                  <c:v>12</c:v>
                </c:pt>
                <c:pt idx="1">
                  <c:v>3</c:v>
                </c:pt>
                <c:pt idx="2">
                  <c:v>10</c:v>
                </c:pt>
                <c:pt idx="3">
                  <c:v>16</c:v>
                </c:pt>
                <c:pt idx="4">
                  <c:v>5</c:v>
                </c:pt>
                <c:pt idx="5">
                  <c:v>12</c:v>
                </c:pt>
                <c:pt idx="6">
                  <c:v>12</c:v>
                </c:pt>
                <c:pt idx="7">
                  <c:v>9</c:v>
                </c:pt>
                <c:pt idx="8">
                  <c:v>13</c:v>
                </c:pt>
                <c:pt idx="9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7A-40D6-9ABD-9E64E2ACA92A}"/>
            </c:ext>
          </c:extLst>
        </c:ser>
        <c:ser>
          <c:idx val="2"/>
          <c:order val="2"/>
          <c:tx>
            <c:strRef>
              <c:f>Sentiment!$D$3:$D$4</c:f>
              <c:strCache>
                <c:ptCount val="1"/>
                <c:pt idx="0">
                  <c:v>Positive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5DE1-4B03-9C27-7B4F8853407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5DE1-4B03-9C27-7B4F8853407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6-5DE1-4B03-9C27-7B4F8853407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5DE1-4B03-9C27-7B4F8853407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8-5DE1-4B03-9C27-7B4F8853407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5DE1-4B03-9C27-7B4F8853407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A-5DE1-4B03-9C27-7B4F8853407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5DE1-4B03-9C27-7B4F8853407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C-5DE1-4B03-9C27-7B4F8853407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5DE1-4B03-9C27-7B4F8853407D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4-5DE1-4B03-9C27-7B4F8853407D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5DE1-4B03-9C27-7B4F8853407D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6-5DE1-4B03-9C27-7B4F8853407D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5DE1-4B03-9C27-7B4F8853407D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8-5DE1-4B03-9C27-7B4F8853407D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5DE1-4B03-9C27-7B4F8853407D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A-5DE1-4B03-9C27-7B4F8853407D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5DE1-4B03-9C27-7B4F8853407D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C-5DE1-4B03-9C27-7B4F8853407D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5DE1-4B03-9C27-7B4F8853407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3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Sentiment!$A$5:$A$15</c:f>
              <c:strCache>
                <c:ptCount val="10"/>
                <c:pt idx="0">
                  <c:v>Camera</c:v>
                </c:pt>
                <c:pt idx="1">
                  <c:v>Headphones</c:v>
                </c:pt>
                <c:pt idx="2">
                  <c:v>Keyboard</c:v>
                </c:pt>
                <c:pt idx="3">
                  <c:v>Laptop</c:v>
                </c:pt>
                <c:pt idx="4">
                  <c:v>Monitor</c:v>
                </c:pt>
                <c:pt idx="5">
                  <c:v>Mouse</c:v>
                </c:pt>
                <c:pt idx="6">
                  <c:v>Printer</c:v>
                </c:pt>
                <c:pt idx="7">
                  <c:v>Smartphone</c:v>
                </c:pt>
                <c:pt idx="8">
                  <c:v>Smartwatch</c:v>
                </c:pt>
                <c:pt idx="9">
                  <c:v>Tablet</c:v>
                </c:pt>
              </c:strCache>
            </c:strRef>
          </c:cat>
          <c:val>
            <c:numRef>
              <c:f>Sentiment!$D$5:$D$15</c:f>
              <c:numCache>
                <c:formatCode>General</c:formatCode>
                <c:ptCount val="10"/>
                <c:pt idx="0">
                  <c:v>20</c:v>
                </c:pt>
                <c:pt idx="1">
                  <c:v>17</c:v>
                </c:pt>
                <c:pt idx="2">
                  <c:v>20</c:v>
                </c:pt>
                <c:pt idx="3">
                  <c:v>27</c:v>
                </c:pt>
                <c:pt idx="4">
                  <c:v>18</c:v>
                </c:pt>
                <c:pt idx="5">
                  <c:v>19</c:v>
                </c:pt>
                <c:pt idx="6">
                  <c:v>18</c:v>
                </c:pt>
                <c:pt idx="7">
                  <c:v>20</c:v>
                </c:pt>
                <c:pt idx="8">
                  <c:v>19</c:v>
                </c:pt>
                <c:pt idx="9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B7A-40D6-9ABD-9E64E2ACA92A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no 2 feedback data.xlsx]Monthly Trend!PivotTable4</c:name>
    <c:fmtId val="3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134667541557306"/>
          <c:y val="0.17171077573636628"/>
          <c:w val="0.74304177602799648"/>
          <c:h val="0.41776465441819771"/>
        </c:manualLayout>
      </c:layout>
      <c:lineChart>
        <c:grouping val="standard"/>
        <c:varyColors val="0"/>
        <c:ser>
          <c:idx val="0"/>
          <c:order val="0"/>
          <c:tx>
            <c:strRef>
              <c:f>'Monthly Trend'!$B$3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'Monthly Trend'!$A$4:$A$17</c:f>
              <c:strCache>
                <c:ptCount val="13"/>
                <c:pt idx="0">
                  <c:v>Apr-2025</c:v>
                </c:pt>
                <c:pt idx="1">
                  <c:v>Aug-2024</c:v>
                </c:pt>
                <c:pt idx="2">
                  <c:v>Aug-2025</c:v>
                </c:pt>
                <c:pt idx="3">
                  <c:v>Dec-2024</c:v>
                </c:pt>
                <c:pt idx="4">
                  <c:v>Feb-2025</c:v>
                </c:pt>
                <c:pt idx="5">
                  <c:v>Jan-2025</c:v>
                </c:pt>
                <c:pt idx="6">
                  <c:v>Jul-2025</c:v>
                </c:pt>
                <c:pt idx="7">
                  <c:v>Jun-2025</c:v>
                </c:pt>
                <c:pt idx="8">
                  <c:v>Mar-2025</c:v>
                </c:pt>
                <c:pt idx="9">
                  <c:v>May-2025</c:v>
                </c:pt>
                <c:pt idx="10">
                  <c:v>Nov-2024</c:v>
                </c:pt>
                <c:pt idx="11">
                  <c:v>Oct-2024</c:v>
                </c:pt>
                <c:pt idx="12">
                  <c:v>Sep-2024</c:v>
                </c:pt>
              </c:strCache>
            </c:strRef>
          </c:cat>
          <c:val>
            <c:numRef>
              <c:f>'Monthly Trend'!$B$4:$B$17</c:f>
              <c:numCache>
                <c:formatCode>General</c:formatCode>
                <c:ptCount val="13"/>
                <c:pt idx="0">
                  <c:v>42</c:v>
                </c:pt>
                <c:pt idx="1">
                  <c:v>23</c:v>
                </c:pt>
                <c:pt idx="2">
                  <c:v>26</c:v>
                </c:pt>
                <c:pt idx="3">
                  <c:v>40</c:v>
                </c:pt>
                <c:pt idx="4">
                  <c:v>43</c:v>
                </c:pt>
                <c:pt idx="5">
                  <c:v>43</c:v>
                </c:pt>
                <c:pt idx="6">
                  <c:v>39</c:v>
                </c:pt>
                <c:pt idx="7">
                  <c:v>35</c:v>
                </c:pt>
                <c:pt idx="8">
                  <c:v>41</c:v>
                </c:pt>
                <c:pt idx="9">
                  <c:v>45</c:v>
                </c:pt>
                <c:pt idx="10">
                  <c:v>40</c:v>
                </c:pt>
                <c:pt idx="11">
                  <c:v>45</c:v>
                </c:pt>
                <c:pt idx="12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80-409F-9A8A-4DEC255FC29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659276895"/>
        <c:axId val="659297535"/>
      </c:lineChart>
      <c:catAx>
        <c:axId val="659276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9297535"/>
        <c:crosses val="autoZero"/>
        <c:auto val="1"/>
        <c:lblAlgn val="ctr"/>
        <c:lblOffset val="100"/>
        <c:noMultiLvlLbl val="0"/>
      </c:catAx>
      <c:valAx>
        <c:axId val="659297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9276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no 2 feedback data.xlsx] Feedback by Product!PivotTable2</c:name>
    <c:fmtId val="1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 Feedback by Product'!$B$3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 Feedback by Product'!$A$4:$A$14</c:f>
              <c:strCache>
                <c:ptCount val="10"/>
                <c:pt idx="0">
                  <c:v>Camera</c:v>
                </c:pt>
                <c:pt idx="1">
                  <c:v>Headphones</c:v>
                </c:pt>
                <c:pt idx="2">
                  <c:v>Keyboard</c:v>
                </c:pt>
                <c:pt idx="3">
                  <c:v>Laptop</c:v>
                </c:pt>
                <c:pt idx="4">
                  <c:v>Monitor</c:v>
                </c:pt>
                <c:pt idx="5">
                  <c:v>Mouse</c:v>
                </c:pt>
                <c:pt idx="6">
                  <c:v>Printer</c:v>
                </c:pt>
                <c:pt idx="7">
                  <c:v>Smartphone</c:v>
                </c:pt>
                <c:pt idx="8">
                  <c:v>Smartwatch</c:v>
                </c:pt>
                <c:pt idx="9">
                  <c:v>Tablet</c:v>
                </c:pt>
              </c:strCache>
            </c:strRef>
          </c:cat>
          <c:val>
            <c:numRef>
              <c:f>' Feedback by Product'!$B$4:$B$14</c:f>
              <c:numCache>
                <c:formatCode>General</c:formatCode>
                <c:ptCount val="10"/>
                <c:pt idx="0">
                  <c:v>49</c:v>
                </c:pt>
                <c:pt idx="1">
                  <c:v>42</c:v>
                </c:pt>
                <c:pt idx="2">
                  <c:v>54</c:v>
                </c:pt>
                <c:pt idx="3">
                  <c:v>64</c:v>
                </c:pt>
                <c:pt idx="4">
                  <c:v>48</c:v>
                </c:pt>
                <c:pt idx="5">
                  <c:v>58</c:v>
                </c:pt>
                <c:pt idx="6">
                  <c:v>43</c:v>
                </c:pt>
                <c:pt idx="7">
                  <c:v>46</c:v>
                </c:pt>
                <c:pt idx="8">
                  <c:v>51</c:v>
                </c:pt>
                <c:pt idx="9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D1-4A0C-ABD1-C56D7B81484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659328735"/>
        <c:axId val="659304255"/>
        <c:axId val="0"/>
      </c:bar3DChart>
      <c:catAx>
        <c:axId val="6593287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9304255"/>
        <c:crosses val="autoZero"/>
        <c:auto val="1"/>
        <c:lblAlgn val="ctr"/>
        <c:lblOffset val="100"/>
        <c:noMultiLvlLbl val="0"/>
      </c:catAx>
      <c:valAx>
        <c:axId val="659304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9328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8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409575</xdr:colOff>
      <xdr:row>2</xdr:row>
      <xdr:rowOff>52387</xdr:rowOff>
    </xdr:from>
    <xdr:to>
      <xdr:col>10</xdr:col>
      <xdr:colOff>104775</xdr:colOff>
      <xdr:row>16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2B4497-48C4-9E3F-BBFA-DC5716ED21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4762</xdr:rowOff>
    </xdr:from>
    <xdr:to>
      <xdr:col>8</xdr:col>
      <xdr:colOff>447675</xdr:colOff>
      <xdr:row>29</xdr:row>
      <xdr:rowOff>80962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277524F-BD39-5239-2CCD-07C3F33341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609600</xdr:colOff>
      <xdr:row>1</xdr:row>
      <xdr:rowOff>147637</xdr:rowOff>
    </xdr:from>
    <xdr:to>
      <xdr:col>9</xdr:col>
      <xdr:colOff>190500</xdr:colOff>
      <xdr:row>16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370B1A-34EF-B97E-E361-6A76AF349A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295275</xdr:colOff>
      <xdr:row>1</xdr:row>
      <xdr:rowOff>138112</xdr:rowOff>
    </xdr:from>
    <xdr:to>
      <xdr:col>9</xdr:col>
      <xdr:colOff>600075</xdr:colOff>
      <xdr:row>16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D05D31-8E17-17F9-2B00-A3B8256E91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26038</xdr:colOff>
      <xdr:row>36</xdr:row>
      <xdr:rowOff>10467</xdr:rowOff>
    </xdr:from>
    <xdr:to>
      <xdr:col>17</xdr:col>
      <xdr:colOff>145262</xdr:colOff>
      <xdr:row>48</xdr:row>
      <xdr:rowOff>42153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A261C9A-C267-410A-9F27-E285DE27DE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439615</xdr:colOff>
      <xdr:row>8</xdr:row>
      <xdr:rowOff>185981</xdr:rowOff>
    </xdr:from>
    <xdr:to>
      <xdr:col>15</xdr:col>
      <xdr:colOff>41868</xdr:colOff>
      <xdr:row>33</xdr:row>
      <xdr:rowOff>177939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948E563-2662-412A-B7FD-48E169F5E5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243933</xdr:colOff>
      <xdr:row>5</xdr:row>
      <xdr:rowOff>139390</xdr:rowOff>
    </xdr:from>
    <xdr:to>
      <xdr:col>9</xdr:col>
      <xdr:colOff>418170</xdr:colOff>
      <xdr:row>6</xdr:row>
      <xdr:rowOff>81310</xdr:rowOff>
    </xdr:to>
    <xdr:sp macro="" textlink="">
      <xdr:nvSpPr>
        <xdr:cNvPr id="2" name="Flowchart: Extract 1">
          <a:extLst>
            <a:ext uri="{FF2B5EF4-FFF2-40B4-BE49-F238E27FC236}">
              <a16:creationId xmlns:a16="http://schemas.microsoft.com/office/drawing/2014/main" id="{88BF8561-D952-CFF2-D231-EE6CD822B47A}"/>
            </a:ext>
          </a:extLst>
        </xdr:cNvPr>
        <xdr:cNvSpPr/>
      </xdr:nvSpPr>
      <xdr:spPr>
        <a:xfrm>
          <a:off x="6888201" y="1347439"/>
          <a:ext cx="174237" cy="255548"/>
        </a:xfrm>
        <a:prstGeom prst="flowChartExtract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185854</xdr:colOff>
      <xdr:row>5</xdr:row>
      <xdr:rowOff>209085</xdr:rowOff>
    </xdr:from>
    <xdr:to>
      <xdr:col>12</xdr:col>
      <xdr:colOff>348476</xdr:colOff>
      <xdr:row>6</xdr:row>
      <xdr:rowOff>139390</xdr:rowOff>
    </xdr:to>
    <xdr:sp macro="" textlink="">
      <xdr:nvSpPr>
        <xdr:cNvPr id="5" name="Flowchart: Merge 4">
          <a:extLst>
            <a:ext uri="{FF2B5EF4-FFF2-40B4-BE49-F238E27FC236}">
              <a16:creationId xmlns:a16="http://schemas.microsoft.com/office/drawing/2014/main" id="{89236940-A7B6-775D-0EC9-FB8C0754A8F3}"/>
            </a:ext>
          </a:extLst>
        </xdr:cNvPr>
        <xdr:cNvSpPr/>
      </xdr:nvSpPr>
      <xdr:spPr>
        <a:xfrm>
          <a:off x="8642195" y="1417134"/>
          <a:ext cx="162622" cy="243933"/>
        </a:xfrm>
        <a:prstGeom prst="flowChartMerge">
          <a:avLst/>
        </a:prstGeom>
        <a:solidFill>
          <a:srgbClr val="00B050"/>
        </a:solidFill>
        <a:ln>
          <a:solidFill>
            <a:schemeClr val="accent3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366346</xdr:colOff>
      <xdr:row>50</xdr:row>
      <xdr:rowOff>62802</xdr:rowOff>
    </xdr:from>
    <xdr:to>
      <xdr:col>15</xdr:col>
      <xdr:colOff>482504</xdr:colOff>
      <xdr:row>63</xdr:row>
      <xdr:rowOff>15645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7BEAB23-B12D-4129-9A9E-A7AAEF1F90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376814</xdr:colOff>
      <xdr:row>36</xdr:row>
      <xdr:rowOff>20934</xdr:rowOff>
    </xdr:from>
    <xdr:to>
      <xdr:col>8</xdr:col>
      <xdr:colOff>375653</xdr:colOff>
      <xdr:row>48</xdr:row>
      <xdr:rowOff>44801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32B9909-4D44-4D2C-93D4-BADC0B6501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r  Rahman Dawar" refreshedDate="46190.354967476851" createdVersion="8" refreshedVersion="8" minRefreshableVersion="3" recordCount="500" xr:uid="{D1782102-0898-442B-913A-BC5E1EED0C89}">
  <cacheSource type="worksheet">
    <worksheetSource name="Table1"/>
  </cacheSource>
  <cacheFields count="8">
    <cacheField name="Feedback ID" numFmtId="0">
      <sharedItems count="487">
        <s v="FB1782"/>
        <s v="FB2178"/>
        <s v="FB9986"/>
        <s v="FB8081"/>
        <s v="FB2281"/>
        <s v="FB3263"/>
        <s v="FB2422"/>
        <s v="FB8270"/>
        <s v="FB4080"/>
        <s v="FB4799"/>
        <s v="FB3103"/>
        <s v="FB6287"/>
        <s v="FB1882"/>
        <s v="FB7516"/>
        <s v="FB2316"/>
        <s v="FB3277"/>
        <s v="FB8760"/>
        <s v="FB9092"/>
        <s v="FB3044"/>
        <s v="FB1603"/>
        <s v="FB1032"/>
        <s v="FB7106"/>
        <s v="FB2582"/>
        <s v="FB2329"/>
        <s v="FB1549"/>
        <s v="FB7924"/>
        <s v="FB5879"/>
        <s v="FB2368"/>
        <s v="FB6037"/>
        <s v="FB2287"/>
        <s v="FB3720"/>
        <s v="FB2883"/>
        <s v="FB5823"/>
        <s v="FB9710"/>
        <s v="FB6457"/>
        <s v="FB8418"/>
        <s v="FB8236"/>
        <s v="FB6407"/>
        <s v="FB7942"/>
        <s v="FB7296"/>
        <s v="FB9844"/>
        <s v="FB1712"/>
        <s v="FB1411"/>
        <s v="FB7532"/>
        <s v="FB2115"/>
        <s v="FB8962"/>
        <s v="FB4448"/>
        <s v="FB6140"/>
        <s v="FB4941"/>
        <s v="FB3476"/>
        <s v="FB5798"/>
        <s v="FB1717"/>
        <s v="FB6700"/>
        <s v="FB4071"/>
        <s v="FB8796"/>
        <s v="FB2391"/>
        <s v="FB4286"/>
        <s v="FB9399"/>
        <s v="FB6763"/>
        <s v="FB6783"/>
        <s v="FB8940"/>
        <s v="FB7852"/>
        <s v="FB4282"/>
        <s v="FB8712"/>
        <s v="FB3652"/>
        <s v="FB2429"/>
        <s v="FB6376"/>
        <s v="FB4591"/>
        <s v="FB4553"/>
        <s v="FB3534"/>
        <s v="FB5280"/>
        <s v="FB1730"/>
        <s v="FB8296"/>
        <s v="FB2828"/>
        <s v="FB4590"/>
        <s v="FB9536"/>
        <s v="FB9511"/>
        <s v="FB5986"/>
        <s v="FB5271"/>
        <s v="FB5359"/>
        <s v="FB9743"/>
        <s v="FB3222"/>
        <s v="FB3102"/>
        <s v="FB3210"/>
        <s v="FB2650"/>
        <s v="FB1652"/>
        <s v="FB9572"/>
        <s v="FB9623"/>
        <s v="FB5779"/>
        <s v="FB9142"/>
        <s v="FB7117"/>
        <s v="FB1084"/>
        <s v="FB6600"/>
        <s v="FB1769"/>
        <s v="FB2797"/>
        <s v="FB8293"/>
        <s v="FB5697"/>
        <s v="FB6280"/>
        <s v="FB6739"/>
        <s v="FB8370"/>
        <s v="FB3319"/>
        <s v="FB4572"/>
        <s v="FB2919"/>
        <s v="FB8996"/>
        <s v="FB7673"/>
        <s v="FB9575"/>
        <s v="FB3644"/>
        <s v="FB1028"/>
        <s v="FB9613"/>
        <s v="FB6269"/>
        <s v="FB7097"/>
        <s v="FB7426"/>
        <s v="FB1761"/>
        <s v="FB8112"/>
        <s v="FB6624"/>
        <s v="FB2077"/>
        <s v="FB8696"/>
        <s v="FB2682"/>
        <s v="FB9537"/>
        <s v="FB1346"/>
        <s v="FB3725"/>
        <s v="FB8471"/>
        <s v="FB7523"/>
        <s v="FB7445"/>
        <s v="FB9350"/>
        <s v="FB4217"/>
        <s v="FB7060"/>
        <s v="FB3286"/>
        <s v="FB8943"/>
        <s v="FB3690"/>
        <s v="FB3684"/>
        <s v="FB3174"/>
        <s v="FB7780"/>
        <s v="FB9013"/>
        <s v="FB1532"/>
        <s v="FB4043"/>
        <s v="FB7486"/>
        <s v="FB5882"/>
        <s v="FB6472"/>
        <s v="FB9905"/>
        <s v="FB9177"/>
        <s v="FB7147"/>
        <s v="FB2633"/>
        <s v="FB7891"/>
        <s v="FB4306"/>
        <s v="FB6293"/>
        <s v="FB1116"/>
        <s v="FB9685"/>
        <s v="FB9734"/>
        <s v="FB7901"/>
        <s v="FB7699"/>
        <s v="FB7830"/>
        <s v="FB1358"/>
        <s v="FB6157"/>
        <s v="FB2340"/>
        <s v="FB5194"/>
        <s v="FB4857"/>
        <s v="FB7027"/>
        <s v="FB8223"/>
        <s v="FB9064"/>
        <s v="FB4911"/>
        <s v="FB6506"/>
        <s v="FB9948"/>
        <s v="FB5817"/>
        <s v="FB8299"/>
        <s v="FB7737"/>
        <s v="FB7520"/>
        <s v="FB1815"/>
        <s v="FB1345"/>
        <s v="FB1975"/>
        <s v="FB3304"/>
        <s v="FB9532"/>
        <s v="FB4920"/>
        <s v="FB6336"/>
        <s v="FB7144"/>
        <s v="FB4251"/>
        <s v="FB7038"/>
        <s v="FB3772"/>
        <s v="FB2560"/>
        <s v="FB2029"/>
        <s v="FB2292"/>
        <s v="FB8047"/>
        <s v="FB7228"/>
        <s v="FB2432"/>
        <s v="FB4213"/>
        <s v="FB3661"/>
        <s v="FB3350"/>
        <s v="FB7035"/>
        <s v="FB8195"/>
        <s v="FB3143"/>
        <s v="FB9501"/>
        <s v="FB8253"/>
        <s v="FB3227"/>
        <s v="FB2552"/>
        <s v="FB1255"/>
        <s v="FB8410"/>
        <s v="FB7786"/>
        <s v="FB7847"/>
        <s v="FB2729"/>
        <s v="FB4609"/>
        <s v="FB2028"/>
        <s v="FB9499"/>
        <s v="FB8177"/>
        <s v="FB8267"/>
        <s v="FB9257"/>
        <s v="FB9863"/>
        <s v="FB4846"/>
        <s v="FB2481"/>
        <s v="FB4313"/>
        <s v="FB5667"/>
        <s v="FB1807"/>
        <s v="FB9824"/>
        <s v="FB5563"/>
        <s v="FB6290"/>
        <s v="FB7517"/>
        <s v="FB5048"/>
        <s v="FB4118"/>
        <s v="FB7179"/>
        <s v="FB1974"/>
        <s v="FB1665"/>
        <s v="FB6621"/>
        <s v="FB1237"/>
        <s v="FB9342"/>
        <s v="FB2732"/>
        <s v="FB2861"/>
        <s v="FB3136"/>
        <s v="FB4770"/>
        <s v="FB9906"/>
        <s v="FB6816"/>
        <s v="FB1979"/>
        <s v="FB2915"/>
        <s v="FB7290"/>
        <s v="FB5514"/>
        <s v="FB5079"/>
        <s v="FB8896"/>
        <s v="FB2504"/>
        <s v="FB4842"/>
        <s v="FB7167"/>
        <s v="FB2078"/>
        <s v="FB3771"/>
        <s v="FB5322"/>
        <s v="FB6776"/>
        <s v="FB2707"/>
        <s v="FB7443"/>
        <s v="FB2538"/>
        <s v="FB5904"/>
        <s v="FB3932"/>
        <s v="FB9657"/>
        <s v="FB7461"/>
        <s v="FB9004"/>
        <s v="FB4516"/>
        <s v="FB2096"/>
        <s v="FB4102"/>
        <s v="FB2464"/>
        <s v="FB1884"/>
        <s v="FB3175"/>
        <s v="FB4656"/>
        <s v="FB8445"/>
        <s v="FB8586"/>
        <s v="FB3731"/>
        <s v="FB2778"/>
        <s v="FB4440"/>
        <s v="FB7537"/>
        <s v="FB7599"/>
        <s v="FB1325"/>
        <s v="FB3866"/>
        <s v="FB3199"/>
        <s v="FB6378"/>
        <s v="FB1250"/>
        <s v="FB5708"/>
        <s v="FB5154"/>
        <s v="FB1580"/>
        <s v="FB1373"/>
        <s v="FB4606"/>
        <s v="FB3839"/>
        <s v="FB4439"/>
        <s v="FB7178"/>
        <s v="FB2691"/>
        <s v="FB1405"/>
        <s v="FB6795"/>
        <s v="FB4476"/>
        <s v="FB9401"/>
        <s v="FB1686"/>
        <s v="FB6298"/>
        <s v="FB7984"/>
        <s v="FB1235"/>
        <s v="FB1568"/>
        <s v="FB6059"/>
        <s v="FB5518"/>
        <s v="FB3434"/>
        <s v="FB3439"/>
        <s v="FB7271"/>
        <s v="FB1594"/>
        <s v="FB1795"/>
        <s v="FB8757"/>
        <s v="FB8521"/>
        <s v="FB2181"/>
        <s v="FB9891"/>
        <s v="FB4216"/>
        <s v="FB1520"/>
        <s v="FB8832"/>
        <s v="FB9935"/>
        <s v="FB8872"/>
        <s v="FB4565"/>
        <s v="FB7348"/>
        <s v="FB6890"/>
        <s v="FB4613"/>
        <s v="FB9807"/>
        <s v="FB9277"/>
        <s v="FB3528"/>
        <s v="FB2350"/>
        <s v="FB5403"/>
        <s v="FB9224"/>
        <s v="FB4050"/>
        <s v="FB4702"/>
        <s v="FB4089"/>
        <s v="FB1336"/>
        <s v="FB9652"/>
        <s v="FB5380"/>
        <s v="FB9970"/>
        <s v="FB9346"/>
        <s v="FB4193"/>
        <s v="FB1286"/>
        <s v="FB5337"/>
        <s v="FB3355"/>
        <s v="FB3022"/>
        <s v="FB7873"/>
        <s v="FB8489"/>
        <s v="FB1887"/>
        <s v="FB8893"/>
        <s v="FB6054"/>
        <s v="FB3363"/>
        <s v="FB7750"/>
        <s v="FB9445"/>
        <s v="FB6215"/>
        <s v="FB3920"/>
        <s v="FB9227"/>
        <s v="FB3545"/>
        <s v="FB9602"/>
        <s v="FB9589"/>
        <s v="FB6887"/>
        <s v="FB1908"/>
        <s v="FB2912"/>
        <s v="FB2601"/>
        <s v="FB3091"/>
        <s v="FB5591"/>
        <s v="FB3658"/>
        <s v="FB7600"/>
        <s v="FB1182"/>
        <s v="FB6650"/>
        <s v="FB6155"/>
        <s v="FB9468"/>
        <s v="FB4918"/>
        <s v="FB7431"/>
        <s v="FB6588"/>
        <s v="FB4992"/>
        <s v="FB7720"/>
        <s v="FB5491"/>
        <s v="FB1952"/>
        <s v="FB1841"/>
        <s v="FB3592"/>
        <s v="FB3239"/>
        <s v="FB7307"/>
        <s v="FB9983"/>
        <s v="FB1291"/>
        <s v="FB6162"/>
        <s v="FB5912"/>
        <s v="FB4108"/>
        <s v="FB8897"/>
        <s v="FB1216"/>
        <s v="FB9735"/>
        <s v="FB2097"/>
        <s v="FB3614"/>
        <s v="FB1142"/>
        <s v="FB7316"/>
        <s v="FB2672"/>
        <s v="FB9924"/>
        <s v="FB4634"/>
        <s v="FB7016"/>
        <s v="FB4785"/>
        <s v="FB5305"/>
        <s v="FB8495"/>
        <s v="FB4137"/>
        <s v="FB1327"/>
        <s v="FB5327"/>
        <s v="FB6025"/>
        <s v="FB6858"/>
        <s v="FB8143"/>
        <s v="FB2680"/>
        <s v="FB3800"/>
        <s v="FB1978"/>
        <s v="FB6832"/>
        <s v="FB9357"/>
        <s v="FB2581"/>
        <s v="FB7922"/>
        <s v="FB5557"/>
        <s v="FB7059"/>
        <s v="FB7345"/>
        <s v="FB9119"/>
        <s v="FB3589"/>
        <s v="FB8015"/>
        <s v="FB3074"/>
        <s v="FB7386"/>
        <s v="FB7893"/>
        <s v="FB9158"/>
        <s v="FB5722"/>
        <s v="FB4626"/>
        <s v="FB5512"/>
        <s v="FB1301"/>
        <s v="FB1799"/>
        <s v="FB4747"/>
        <s v="FB8679"/>
        <s v="FB6566"/>
        <s v="FB7832"/>
        <s v="FB1072"/>
        <s v="FB7800"/>
        <s v="FB9021"/>
        <s v="FB1454"/>
        <s v="FB7108"/>
        <s v="FB8780"/>
        <s v="FB8140"/>
        <s v="FB2783"/>
        <s v="FB2046"/>
        <s v="FB9916"/>
        <s v="FB1781"/>
        <s v="FB7749"/>
        <s v="FB8997"/>
        <s v="FB8498"/>
        <s v="FB1290"/>
        <s v="FB9546"/>
        <s v="FB5090"/>
        <s v="FB9580"/>
        <s v="FB7324"/>
        <s v="FB2741"/>
        <s v="FB6678"/>
        <s v="FB7872"/>
        <s v="FB1947"/>
        <s v="FB4056"/>
        <s v="FB1655"/>
        <s v="FB5854"/>
        <s v="FB4532"/>
        <s v="FB5107"/>
        <s v="FB2357"/>
        <s v="FB5881"/>
        <s v="FB8040"/>
        <s v="FB4719"/>
        <s v="FB7433"/>
        <s v="FB4098"/>
        <s v="FB9713"/>
        <s v="FB2920"/>
        <s v="FB1582"/>
        <s v="FB9538"/>
        <s v="FB9437"/>
        <s v="FB6706"/>
        <s v="FB7378"/>
        <s v="FB1465"/>
        <s v="FB2295"/>
        <s v="FB7803"/>
        <s v="FB5665"/>
        <s v="FB1030"/>
        <s v="FB7069"/>
        <s v="FB6649"/>
        <s v="FB4256"/>
        <s v="FB2683"/>
        <s v="FB8775"/>
        <s v="FB5853"/>
        <s v="FB6213"/>
        <s v="FB3191"/>
        <s v="FB2990"/>
        <s v="FB9559"/>
        <s v="FB2509"/>
        <s v="FB7555"/>
        <s v="FB6346"/>
        <s v="FB1685"/>
        <s v="FB9625"/>
        <s v="FB2209"/>
        <s v="FB9230"/>
        <s v="FB6744"/>
        <s v="FB5660"/>
        <s v="FB5211"/>
        <s v="FB9106"/>
        <s v="FB8817"/>
        <s v="FB1770"/>
        <s v="FB9921"/>
        <s v="FB1140"/>
        <s v="FB7422"/>
        <s v="FB3517"/>
      </sharedItems>
    </cacheField>
    <cacheField name="Customer Name" numFmtId="0">
      <sharedItems/>
    </cacheField>
    <cacheField name="Product" numFmtId="0">
      <sharedItems count="10">
        <s v="Headphones"/>
        <s v="Printer"/>
        <s v="Camera"/>
        <s v="Tablet"/>
        <s v="Laptop"/>
        <s v="Mouse"/>
        <s v="Smartwatch"/>
        <s v="Keyboard"/>
        <s v="Monitor"/>
        <s v="Smartphone"/>
      </sharedItems>
    </cacheField>
    <cacheField name="Rating" numFmtId="0">
      <sharedItems containsSemiMixedTypes="0" containsString="0" containsNumber="1" containsInteger="1" minValue="1" maxValue="5" count="5">
        <n v="2"/>
        <n v="5"/>
        <n v="3"/>
        <n v="4"/>
        <n v="1"/>
      </sharedItems>
    </cacheField>
    <cacheField name="Feedback Text" numFmtId="0">
      <sharedItems/>
    </cacheField>
    <cacheField name="Date of Feedback" numFmtId="164">
      <sharedItems containsSemiMixedTypes="0" containsNonDate="0" containsDate="1" containsString="0" minDate="2024-08-18T06:23:05" maxDate="2025-08-18T06:23:05" count="275">
        <d v="2025-06-25T06:23:05"/>
        <d v="2025-03-03T06:23:05"/>
        <d v="2024-12-19T06:23:05"/>
        <d v="2025-07-27T06:23:05"/>
        <d v="2025-03-10T06:23:05"/>
        <d v="2024-09-09T06:23:05"/>
        <d v="2025-02-21T06:23:05"/>
        <d v="2025-06-29T06:23:05"/>
        <d v="2025-04-21T06:23:05"/>
        <d v="2025-07-23T06:23:05"/>
        <d v="2025-01-13T06:23:05"/>
        <d v="2025-07-06T06:23:05"/>
        <d v="2025-02-24T06:23:05"/>
        <d v="2025-01-29T06:23:05"/>
        <d v="2024-09-07T06:23:05"/>
        <d v="2024-11-20T06:23:05"/>
        <d v="2025-01-14T06:23:05"/>
        <d v="2024-10-17T06:23:05"/>
        <d v="2025-08-03T06:23:05"/>
        <d v="2025-08-18T06:23:05"/>
        <d v="2024-08-23T06:23:05"/>
        <d v="2025-07-20T06:23:05"/>
        <d v="2024-09-03T06:23:05"/>
        <d v="2025-05-19T06:23:05"/>
        <d v="2025-02-04T06:23:05"/>
        <d v="2024-10-19T06:23:05"/>
        <d v="2025-08-09T06:23:05"/>
        <d v="2025-03-18T06:23:05"/>
        <d v="2024-11-25T06:23:05"/>
        <d v="2025-05-09T06:23:05"/>
        <d v="2024-10-24T06:23:05"/>
        <d v="2025-03-08T06:23:05"/>
        <d v="2025-05-30T06:23:05"/>
        <d v="2024-10-07T06:23:05"/>
        <d v="2024-10-14T06:23:05"/>
        <d v="2025-01-15T06:23:05"/>
        <d v="2025-03-12T06:23:05"/>
        <d v="2025-01-03T06:23:05"/>
        <d v="2024-12-07T06:23:05"/>
        <d v="2025-05-10T06:23:05"/>
        <d v="2025-04-13T06:23:05"/>
        <d v="2024-12-02T06:23:05"/>
        <d v="2024-11-21T06:23:05"/>
        <d v="2025-03-16T06:23:05"/>
        <d v="2025-08-01T06:23:05"/>
        <d v="2024-10-08T06:23:05"/>
        <d v="2025-02-27T06:23:05"/>
        <d v="2024-09-30T06:23:05"/>
        <d v="2025-01-11T06:23:05"/>
        <d v="2024-12-18T06:23:05"/>
        <d v="2025-08-14T06:23:05"/>
        <d v="2024-12-27T06:23:05"/>
        <d v="2025-01-08T06:23:05"/>
        <d v="2025-08-07T06:23:05"/>
        <d v="2024-09-27T06:23:05"/>
        <d v="2024-12-24T06:23:05"/>
        <d v="2025-04-24T06:23:05"/>
        <d v="2025-04-15T06:23:05"/>
        <d v="2025-01-06T06:23:05"/>
        <d v="2025-01-22T06:23:05"/>
        <d v="2025-07-16T06:23:05"/>
        <d v="2025-07-10T06:23:05"/>
        <d v="2025-02-02T06:23:05"/>
        <d v="2025-06-17T06:23:05"/>
        <d v="2025-04-23T06:23:05"/>
        <d v="2025-06-26T06:23:05"/>
        <d v="2025-02-20T06:23:05"/>
        <d v="2024-08-27T06:23:05"/>
        <d v="2025-02-06T06:23:05"/>
        <d v="2025-01-20T06:23:05"/>
        <d v="2025-07-17T06:23:05"/>
        <d v="2024-12-31T06:23:05"/>
        <d v="2025-03-11T06:23:05"/>
        <d v="2025-06-09T06:23:05"/>
        <d v="2025-07-04T06:23:05"/>
        <d v="2024-10-10T06:23:05"/>
        <d v="2025-06-12T06:23:05"/>
        <d v="2024-08-18T06:23:05"/>
        <d v="2025-03-27T06:23:05"/>
        <d v="2025-05-28T06:23:05"/>
        <d v="2025-05-11T06:23:05"/>
        <d v="2025-07-21T06:23:05"/>
        <d v="2024-09-15T06:23:05"/>
        <d v="2025-02-05T06:23:05"/>
        <d v="2024-08-29T06:23:05"/>
        <d v="2025-06-04T06:23:05"/>
        <d v="2025-04-05T06:23:05"/>
        <d v="2024-09-14T06:23:05"/>
        <d v="2025-03-23T06:23:05"/>
        <d v="2025-08-04T06:23:05"/>
        <d v="2024-08-31T06:23:05"/>
        <d v="2025-05-24T06:23:05"/>
        <d v="2025-04-03T06:23:05"/>
        <d v="2025-08-06T06:23:05"/>
        <d v="2025-02-16T06:23:05"/>
        <d v="2025-05-13T06:23:05"/>
        <d v="2025-07-15T06:23:05"/>
        <d v="2024-10-06T06:23:05"/>
        <d v="2025-01-30T06:23:05"/>
        <d v="2025-02-01T06:23:05"/>
        <d v="2025-03-04T06:23:05"/>
        <d v="2024-12-20T06:23:05"/>
        <d v="2024-11-07T06:23:05"/>
        <d v="2024-11-05T06:23:05"/>
        <d v="2024-12-11T06:23:05"/>
        <d v="2025-04-18T06:23:05"/>
        <d v="2025-01-12T06:23:05"/>
        <d v="2025-02-19T06:23:05"/>
        <d v="2024-11-01T06:23:05"/>
        <d v="2025-01-25T06:23:05"/>
        <d v="2024-12-09T06:23:05"/>
        <d v="2024-10-18T06:23:05"/>
        <d v="2024-12-17T06:23:05"/>
        <d v="2025-03-09T06:23:05"/>
        <d v="2025-02-09T06:23:05"/>
        <d v="2025-05-02T06:23:05"/>
        <d v="2025-07-25T06:23:05"/>
        <d v="2025-02-14T06:23:05"/>
        <d v="2025-08-12T06:23:05"/>
        <d v="2024-10-27T06:23:05"/>
        <d v="2025-05-16T06:23:05"/>
        <d v="2025-05-12T06:23:05"/>
        <d v="2025-07-22T06:23:05"/>
        <d v="2025-02-22T06:23:05"/>
        <d v="2024-12-21T06:23:05"/>
        <d v="2025-07-07T06:23:05"/>
        <d v="2025-03-20T06:23:05"/>
        <d v="2025-02-03T06:23:05"/>
        <d v="2024-10-22T06:23:05"/>
        <d v="2025-07-19T06:23:05"/>
        <d v="2025-07-26T06:23:05"/>
        <d v="2025-03-22T06:23:05"/>
        <d v="2025-08-16T06:23:05"/>
        <d v="2024-10-29T06:23:05"/>
        <d v="2024-10-23T06:23:05"/>
        <d v="2025-03-31T06:23:05"/>
        <d v="2025-05-18T06:23:05"/>
        <d v="2024-10-30T06:23:05"/>
        <d v="2025-04-08T06:23:05"/>
        <d v="2025-04-26T06:23:05"/>
        <d v="2025-01-04T06:23:05"/>
        <d v="2024-11-10T06:23:05"/>
        <d v="2025-03-21T06:23:05"/>
        <d v="2025-05-07T06:23:05"/>
        <d v="2025-04-19T06:23:05"/>
        <d v="2025-05-23T06:23:05"/>
        <d v="2024-11-16T06:23:05"/>
        <d v="2025-04-07T06:23:05"/>
        <d v="2025-06-22T06:23:05"/>
        <d v="2025-06-01T06:23:05"/>
        <d v="2025-08-02T06:23:05"/>
        <d v="2025-03-30T06:23:05"/>
        <d v="2025-06-03T06:23:05"/>
        <d v="2025-06-07T06:23:05"/>
        <d v="2024-11-23T06:23:05"/>
        <d v="2024-10-01T06:23:05"/>
        <d v="2025-04-06T06:23:05"/>
        <d v="2024-12-08T06:23:05"/>
        <d v="2025-07-09T06:23:05"/>
        <d v="2024-09-25T06:23:05"/>
        <d v="2025-01-10T06:23:05"/>
        <d v="2025-04-17T06:23:05"/>
        <d v="2024-11-28T06:23:05"/>
        <d v="2025-01-16T06:23:05"/>
        <d v="2025-06-13T06:23:05"/>
        <d v="2024-12-22T06:23:05"/>
        <d v="2025-02-13T06:23:05"/>
        <d v="2025-04-11T06:23:05"/>
        <d v="2025-03-01T06:23:05"/>
        <d v="2025-01-01T06:23:05"/>
        <d v="2024-09-08T06:23:05"/>
        <d v="2025-02-12T06:23:05"/>
        <d v="2024-10-09T06:23:05"/>
        <d v="2025-07-11T06:23:05"/>
        <d v="2024-10-04T06:23:05"/>
        <d v="2024-11-29T06:23:05"/>
        <d v="2025-06-08T06:23:05"/>
        <d v="2025-02-23T06:23:05"/>
        <d v="2025-06-02T06:23:05"/>
        <d v="2025-05-25T06:23:05"/>
        <d v="2025-07-02T06:23:05"/>
        <d v="2024-09-28T06:23:05"/>
        <d v="2025-08-11T06:23:05"/>
        <d v="2025-02-28T06:23:05"/>
        <d v="2025-06-20T06:23:05"/>
        <d v="2024-10-28T06:23:05"/>
        <d v="2024-09-17T06:23:05"/>
        <d v="2025-08-13T06:23:05"/>
        <d v="2024-09-02T06:23:05"/>
        <d v="2025-04-20T06:23:05"/>
        <d v="2024-10-26T06:23:05"/>
        <d v="2025-07-12T06:23:05"/>
        <d v="2024-11-12T06:23:05"/>
        <d v="2024-12-30T06:23:05"/>
        <d v="2025-06-14T06:23:05"/>
        <d v="2024-09-10T06:23:05"/>
        <d v="2025-03-25T06:23:05"/>
        <d v="2025-04-02T06:23:05"/>
        <d v="2024-11-13T06:23:05"/>
        <d v="2024-11-09T06:23:05"/>
        <d v="2025-05-27T06:23:05"/>
        <d v="2025-05-20T06:23:05"/>
        <d v="2025-02-26T06:23:05"/>
        <d v="2024-08-28T06:23:05"/>
        <d v="2024-08-22T06:23:05"/>
        <d v="2024-11-11T06:23:05"/>
        <d v="2025-04-14T06:23:05"/>
        <d v="2024-09-05T06:23:05"/>
        <d v="2025-04-22T06:23:05"/>
        <d v="2024-10-20T06:23:05"/>
        <d v="2025-01-26T06:23:05"/>
        <d v="2025-06-30T06:23:05"/>
        <d v="2025-01-24T06:23:05"/>
        <d v="2025-05-31T06:23:05"/>
        <d v="2025-07-31T06:23:05"/>
        <d v="2025-06-16T06:23:05"/>
        <d v="2024-11-24T06:23:05"/>
        <d v="2025-04-01T06:23:05"/>
        <d v="2024-11-04T06:23:05"/>
        <d v="2024-11-19T06:23:05"/>
        <d v="2024-10-11T06:23:05"/>
        <d v="2024-09-26T06:23:05"/>
        <d v="2024-11-06T06:23:05"/>
        <d v="2025-02-25T06:23:05"/>
        <d v="2025-05-29T06:23:05"/>
        <d v="2024-12-03T06:23:05"/>
        <d v="2024-11-03T06:23:05"/>
        <d v="2025-04-27T06:23:05"/>
        <d v="2025-08-05T06:23:05"/>
        <d v="2025-06-05T06:23:05"/>
        <d v="2024-12-16T06:23:05"/>
        <d v="2024-12-26T06:23:05"/>
        <d v="2024-09-29T06:23:05"/>
        <d v="2025-07-08T06:23:05"/>
        <d v="2025-05-21T06:23:05"/>
        <d v="2025-05-14T06:23:05"/>
        <d v="2024-09-04T06:23:05"/>
        <d v="2025-03-19T06:23:05"/>
        <d v="2025-05-03T06:23:05"/>
        <d v="2024-08-21T06:23:05"/>
        <d v="2024-09-19T06:23:05"/>
        <d v="2024-11-17T06:23:05"/>
        <d v="2024-12-29T06:23:05"/>
        <d v="2025-04-10T06:23:05"/>
        <d v="2024-09-18T06:23:05"/>
        <d v="2024-11-18T06:23:05"/>
        <d v="2024-10-21T06:23:05"/>
        <d v="2025-01-27T06:23:05"/>
        <d v="2025-04-25T06:23:05"/>
        <d v="2025-07-13T06:23:05"/>
        <d v="2024-08-20T06:23:05"/>
        <d v="2025-05-22T06:23:05"/>
        <d v="2024-10-05T06:23:05"/>
        <d v="2024-08-30T06:23:05"/>
        <d v="2024-12-04T06:23:05"/>
        <d v="2025-08-08T06:23:05"/>
        <d v="2025-04-16T06:23:05"/>
        <d v="2025-03-26T06:23:05"/>
        <d v="2025-08-17T06:23:05"/>
        <d v="2024-11-27T06:23:05"/>
        <d v="2025-02-18T06:23:05"/>
        <d v="2025-06-24T06:23:05"/>
        <d v="2025-03-02T06:23:05"/>
        <d v="2025-07-14T06:23:05"/>
        <d v="2025-04-28T06:23:05"/>
        <d v="2025-06-11T06:23:05"/>
        <d v="2025-01-05T06:23:05"/>
        <d v="2025-06-06T06:23:05"/>
        <d v="2024-10-25T06:23:05"/>
        <d v="2025-05-06T06:23:05"/>
        <d v="2025-03-14T06:23:05"/>
        <d v="2025-07-28T06:23:05"/>
        <d v="2025-08-15T06:23:05"/>
        <d v="2024-09-20T06:23:05"/>
        <d v="2024-12-25T06:23:05"/>
      </sharedItems>
    </cacheField>
    <cacheField name="Month" numFmtId="0">
      <sharedItems count="13">
        <s v="Jun-2025"/>
        <s v="Mar-2025"/>
        <s v="Dec-2024"/>
        <s v="Jul-2025"/>
        <s v="Sep-2024"/>
        <s v="Feb-2025"/>
        <s v="Apr-2025"/>
        <s v="Jan-2025"/>
        <s v="Nov-2024"/>
        <s v="Oct-2024"/>
        <s v="Aug-2025"/>
        <s v="Aug-2024"/>
        <s v="May-2025"/>
      </sharedItems>
    </cacheField>
    <cacheField name="Sentiment" numFmtId="0">
      <sharedItems count="3">
        <s v="Negative"/>
        <s v="Positive"/>
        <s v="Neutral"/>
      </sharedItems>
    </cacheField>
  </cacheFields>
  <extLst>
    <ext xmlns:x14="http://schemas.microsoft.com/office/spreadsheetml/2009/9/main" uri="{725AE2AE-9491-48be-B2B4-4EB974FC3084}">
      <x14:pivotCacheDefinition pivotCacheId="106205143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r  Rahman Dawar" refreshedDate="46192.241186226849" createdVersion="8" refreshedVersion="8" minRefreshableVersion="3" recordCount="501" xr:uid="{6FB53966-05B8-47F2-B318-82B3BEA5FE40}">
  <cacheSource type="worksheet">
    <worksheetSource ref="A1:H1048576" sheet="Raw Data"/>
  </cacheSource>
  <cacheFields count="8">
    <cacheField name="Feedback ID" numFmtId="0">
      <sharedItems containsBlank="1"/>
    </cacheField>
    <cacheField name="Customer Name" numFmtId="0">
      <sharedItems containsBlank="1"/>
    </cacheField>
    <cacheField name="Product" numFmtId="0">
      <sharedItems containsBlank="1" count="11">
        <s v="Headphones"/>
        <s v="Printer"/>
        <s v="Camera"/>
        <s v="Tablet"/>
        <s v="Laptop"/>
        <s v="Mouse"/>
        <s v="Smartwatch"/>
        <s v="Keyboard"/>
        <s v="Monitor"/>
        <s v="Smartphone"/>
        <m/>
      </sharedItems>
    </cacheField>
    <cacheField name="Rating" numFmtId="0">
      <sharedItems containsString="0" containsBlank="1" containsNumber="1" containsInteger="1" minValue="1" maxValue="5"/>
    </cacheField>
    <cacheField name="Feedback Text" numFmtId="0">
      <sharedItems containsBlank="1"/>
    </cacheField>
    <cacheField name="Date of Feedback" numFmtId="0">
      <sharedItems containsNonDate="0" containsDate="1" containsString="0" containsBlank="1" minDate="2024-08-18T06:23:05" maxDate="2025-08-18T06:23:05"/>
    </cacheField>
    <cacheField name="Month" numFmtId="0">
      <sharedItems containsBlank="1"/>
    </cacheField>
    <cacheField name="Sentiment" numFmtId="0">
      <sharedItems containsBlank="1" count="4">
        <s v="Negative"/>
        <s v="Positive"/>
        <s v="Neutral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x v="0"/>
    <s v="David Lee"/>
    <x v="0"/>
    <x v="0"/>
    <s v="Disappointed. The product arrived damaged."/>
    <x v="0"/>
    <x v="0"/>
    <x v="0"/>
  </r>
  <r>
    <x v="1"/>
    <s v="James Taylor"/>
    <x v="1"/>
    <x v="1"/>
    <s v="Perfect for my needs, exactly what I was looking for."/>
    <x v="1"/>
    <x v="1"/>
    <x v="1"/>
  </r>
  <r>
    <x v="2"/>
    <s v="James Taylor"/>
    <x v="2"/>
    <x v="1"/>
    <s v="Perfect for my needs, exactly what I was looking for."/>
    <x v="2"/>
    <x v="2"/>
    <x v="1"/>
  </r>
  <r>
    <x v="3"/>
    <s v="Sophia Adams"/>
    <x v="3"/>
    <x v="2"/>
    <s v="The quality could be better, but it's decent for the price."/>
    <x v="3"/>
    <x v="3"/>
    <x v="2"/>
  </r>
  <r>
    <x v="4"/>
    <s v="Mark Johnson"/>
    <x v="4"/>
    <x v="1"/>
    <s v="Not satisfied with the product. Would not recommend."/>
    <x v="4"/>
    <x v="1"/>
    <x v="1"/>
  </r>
  <r>
    <x v="5"/>
    <s v="Sarah Wilson"/>
    <x v="4"/>
    <x v="3"/>
    <s v="The product broke within a few weeks, not durable."/>
    <x v="5"/>
    <x v="4"/>
    <x v="1"/>
  </r>
  <r>
    <x v="6"/>
    <s v="David Lee"/>
    <x v="5"/>
    <x v="2"/>
    <s v="The quality could be better, but it's decent for the price."/>
    <x v="6"/>
    <x v="5"/>
    <x v="2"/>
  </r>
  <r>
    <x v="7"/>
    <s v="Mark Johnson"/>
    <x v="6"/>
    <x v="1"/>
    <s v="The product broke within a few weeks, not durable."/>
    <x v="7"/>
    <x v="0"/>
    <x v="1"/>
  </r>
  <r>
    <x v="8"/>
    <s v="Sophia Adams"/>
    <x v="1"/>
    <x v="2"/>
    <s v="Disappointed. The product arrived damaged."/>
    <x v="8"/>
    <x v="6"/>
    <x v="2"/>
  </r>
  <r>
    <x v="9"/>
    <s v="Sarah Wilson"/>
    <x v="2"/>
    <x v="0"/>
    <s v="The quality could be better, but it's decent for the price."/>
    <x v="9"/>
    <x v="3"/>
    <x v="0"/>
  </r>
  <r>
    <x v="10"/>
    <s v="David Lee"/>
    <x v="4"/>
    <x v="1"/>
    <s v="It works fine, but there are better options available."/>
    <x v="10"/>
    <x v="7"/>
    <x v="1"/>
  </r>
  <r>
    <x v="11"/>
    <s v="Michael Brown"/>
    <x v="4"/>
    <x v="4"/>
    <s v="Good product, but the delivery was late."/>
    <x v="11"/>
    <x v="3"/>
    <x v="0"/>
  </r>
  <r>
    <x v="12"/>
    <s v="Emily Davis"/>
    <x v="2"/>
    <x v="3"/>
    <s v="The quality could be better, but it's decent for the price."/>
    <x v="12"/>
    <x v="5"/>
    <x v="1"/>
  </r>
  <r>
    <x v="13"/>
    <s v="James Taylor"/>
    <x v="7"/>
    <x v="3"/>
    <s v="Excellent product, really happy with the purchase!"/>
    <x v="13"/>
    <x v="7"/>
    <x v="1"/>
  </r>
  <r>
    <x v="14"/>
    <s v="Sarah Wilson"/>
    <x v="0"/>
    <x v="4"/>
    <s v="The quality could be better, but it's decent for the price."/>
    <x v="14"/>
    <x v="4"/>
    <x v="0"/>
  </r>
  <r>
    <x v="15"/>
    <s v="Jane Smith"/>
    <x v="8"/>
    <x v="2"/>
    <s v="Good product, but the delivery was late."/>
    <x v="15"/>
    <x v="8"/>
    <x v="2"/>
  </r>
  <r>
    <x v="16"/>
    <s v="Sophia Adams"/>
    <x v="3"/>
    <x v="2"/>
    <s v="Disappointed. The product arrived damaged."/>
    <x v="16"/>
    <x v="7"/>
    <x v="2"/>
  </r>
  <r>
    <x v="17"/>
    <s v="Sarah Wilson"/>
    <x v="5"/>
    <x v="2"/>
    <s v="It works fine, but there are better options available."/>
    <x v="17"/>
    <x v="9"/>
    <x v="2"/>
  </r>
  <r>
    <x v="18"/>
    <s v="David Lee"/>
    <x v="3"/>
    <x v="0"/>
    <s v="The product broke within a few weeks, not durable."/>
    <x v="18"/>
    <x v="10"/>
    <x v="0"/>
  </r>
  <r>
    <x v="19"/>
    <s v="Jane Smith"/>
    <x v="5"/>
    <x v="4"/>
    <s v="Excellent product, really happy with the purchase!"/>
    <x v="19"/>
    <x v="10"/>
    <x v="0"/>
  </r>
  <r>
    <x v="20"/>
    <s v="Mark Johnson"/>
    <x v="3"/>
    <x v="2"/>
    <s v="Perfect for my needs, exactly what I was looking for."/>
    <x v="20"/>
    <x v="11"/>
    <x v="2"/>
  </r>
  <r>
    <x v="21"/>
    <s v="James Taylor"/>
    <x v="1"/>
    <x v="1"/>
    <s v="Good product, but the delivery was late."/>
    <x v="21"/>
    <x v="3"/>
    <x v="1"/>
  </r>
  <r>
    <x v="22"/>
    <s v="Sophia Adams"/>
    <x v="4"/>
    <x v="3"/>
    <s v="Disappointed. The product arrived damaged."/>
    <x v="22"/>
    <x v="4"/>
    <x v="1"/>
  </r>
  <r>
    <x v="23"/>
    <s v="Michael Brown"/>
    <x v="3"/>
    <x v="4"/>
    <s v="Perfect for my needs, exactly what I was looking for."/>
    <x v="23"/>
    <x v="12"/>
    <x v="0"/>
  </r>
  <r>
    <x v="24"/>
    <s v="Mark Johnson"/>
    <x v="7"/>
    <x v="0"/>
    <s v="Perfect for my needs, exactly what I was looking for."/>
    <x v="24"/>
    <x v="5"/>
    <x v="0"/>
  </r>
  <r>
    <x v="25"/>
    <s v="Jane Smith"/>
    <x v="4"/>
    <x v="4"/>
    <s v="Great customer service, the product exceeded expectations."/>
    <x v="25"/>
    <x v="9"/>
    <x v="0"/>
  </r>
  <r>
    <x v="26"/>
    <s v="Emily Davis"/>
    <x v="2"/>
    <x v="1"/>
    <s v="Perfect for my needs, exactly what I was looking for."/>
    <x v="26"/>
    <x v="10"/>
    <x v="1"/>
  </r>
  <r>
    <x v="27"/>
    <s v="Emily Davis"/>
    <x v="0"/>
    <x v="3"/>
    <s v="Great value for money, very reliable."/>
    <x v="27"/>
    <x v="1"/>
    <x v="1"/>
  </r>
  <r>
    <x v="28"/>
    <s v="Mark Johnson"/>
    <x v="0"/>
    <x v="1"/>
    <s v="Excellent product, really happy with the purchase!"/>
    <x v="28"/>
    <x v="8"/>
    <x v="1"/>
  </r>
  <r>
    <x v="29"/>
    <s v="David Lee"/>
    <x v="3"/>
    <x v="0"/>
    <s v="The product broke within a few weeks, not durable."/>
    <x v="29"/>
    <x v="12"/>
    <x v="0"/>
  </r>
  <r>
    <x v="30"/>
    <s v="Sarah Wilson"/>
    <x v="4"/>
    <x v="3"/>
    <s v="Excellent product, really happy with the purchase!"/>
    <x v="30"/>
    <x v="9"/>
    <x v="1"/>
  </r>
  <r>
    <x v="31"/>
    <s v="James Taylor"/>
    <x v="5"/>
    <x v="0"/>
    <s v="Not satisfied with the product. Would not recommend."/>
    <x v="31"/>
    <x v="1"/>
    <x v="0"/>
  </r>
  <r>
    <x v="32"/>
    <s v="Laura Clark"/>
    <x v="2"/>
    <x v="0"/>
    <s v="Disappointed. The product arrived damaged."/>
    <x v="32"/>
    <x v="12"/>
    <x v="0"/>
  </r>
  <r>
    <x v="33"/>
    <s v="James Taylor"/>
    <x v="6"/>
    <x v="4"/>
    <s v="It works fine, but there are better options available."/>
    <x v="33"/>
    <x v="9"/>
    <x v="0"/>
  </r>
  <r>
    <x v="34"/>
    <s v="John Doe"/>
    <x v="3"/>
    <x v="4"/>
    <s v="Perfect for my needs, exactly what I was looking for."/>
    <x v="34"/>
    <x v="9"/>
    <x v="0"/>
  </r>
  <r>
    <x v="35"/>
    <s v="Emily Davis"/>
    <x v="1"/>
    <x v="4"/>
    <s v="Good product, but the delivery was late."/>
    <x v="35"/>
    <x v="7"/>
    <x v="0"/>
  </r>
  <r>
    <x v="36"/>
    <s v="Michael Brown"/>
    <x v="3"/>
    <x v="0"/>
    <s v="Great customer service, the product exceeded expectations."/>
    <x v="36"/>
    <x v="1"/>
    <x v="0"/>
  </r>
  <r>
    <x v="37"/>
    <s v="Sophia Adams"/>
    <x v="2"/>
    <x v="0"/>
    <s v="Disappointed. The product arrived damaged."/>
    <x v="37"/>
    <x v="7"/>
    <x v="0"/>
  </r>
  <r>
    <x v="38"/>
    <s v="John Doe"/>
    <x v="3"/>
    <x v="3"/>
    <s v="Disappointed. The product arrived damaged."/>
    <x v="38"/>
    <x v="2"/>
    <x v="1"/>
  </r>
  <r>
    <x v="39"/>
    <s v="Sophia Adams"/>
    <x v="2"/>
    <x v="0"/>
    <s v="Excellent product, really happy with the purchase!"/>
    <x v="39"/>
    <x v="12"/>
    <x v="0"/>
  </r>
  <r>
    <x v="40"/>
    <s v="James Taylor"/>
    <x v="9"/>
    <x v="2"/>
    <s v="Not satisfied with the product. Would not recommend."/>
    <x v="40"/>
    <x v="6"/>
    <x v="2"/>
  </r>
  <r>
    <x v="41"/>
    <s v="Emily Davis"/>
    <x v="4"/>
    <x v="2"/>
    <s v="Not satisfied with the product. Would not recommend."/>
    <x v="41"/>
    <x v="2"/>
    <x v="2"/>
  </r>
  <r>
    <x v="42"/>
    <s v="James Taylor"/>
    <x v="6"/>
    <x v="4"/>
    <s v="Not satisfied with the product. Would not recommend."/>
    <x v="42"/>
    <x v="8"/>
    <x v="0"/>
  </r>
  <r>
    <x v="43"/>
    <s v="David Lee"/>
    <x v="6"/>
    <x v="4"/>
    <s v="Not satisfied with the product. Would not recommend."/>
    <x v="43"/>
    <x v="1"/>
    <x v="0"/>
  </r>
  <r>
    <x v="44"/>
    <s v="Mark Johnson"/>
    <x v="1"/>
    <x v="1"/>
    <s v="It works fine, but there are better options available."/>
    <x v="44"/>
    <x v="10"/>
    <x v="1"/>
  </r>
  <r>
    <x v="45"/>
    <s v="Sophia Adams"/>
    <x v="7"/>
    <x v="3"/>
    <s v="Perfect for my needs, exactly what I was looking for."/>
    <x v="43"/>
    <x v="1"/>
    <x v="1"/>
  </r>
  <r>
    <x v="46"/>
    <s v="Sophia Adams"/>
    <x v="6"/>
    <x v="2"/>
    <s v="Great customer service, the product exceeded expectations."/>
    <x v="45"/>
    <x v="9"/>
    <x v="2"/>
  </r>
  <r>
    <x v="47"/>
    <s v="Sophia Adams"/>
    <x v="8"/>
    <x v="0"/>
    <s v="Disappointed. The product arrived damaged."/>
    <x v="12"/>
    <x v="5"/>
    <x v="0"/>
  </r>
  <r>
    <x v="48"/>
    <s v="Jane Smith"/>
    <x v="6"/>
    <x v="1"/>
    <s v="The quality could be better, but it's decent for the price."/>
    <x v="46"/>
    <x v="5"/>
    <x v="1"/>
  </r>
  <r>
    <x v="49"/>
    <s v="Emily Davis"/>
    <x v="4"/>
    <x v="2"/>
    <s v="Great customer service, the product exceeded expectations."/>
    <x v="47"/>
    <x v="4"/>
    <x v="2"/>
  </r>
  <r>
    <x v="50"/>
    <s v="David Lee"/>
    <x v="0"/>
    <x v="4"/>
    <s v="The quality could be better, but it's decent for the price."/>
    <x v="48"/>
    <x v="7"/>
    <x v="0"/>
  </r>
  <r>
    <x v="51"/>
    <s v="David Lee"/>
    <x v="8"/>
    <x v="1"/>
    <s v="The product broke within a few weeks, not durable."/>
    <x v="49"/>
    <x v="2"/>
    <x v="1"/>
  </r>
  <r>
    <x v="52"/>
    <s v="John Doe"/>
    <x v="9"/>
    <x v="3"/>
    <s v="Excellent product, really happy with the purchase!"/>
    <x v="50"/>
    <x v="10"/>
    <x v="1"/>
  </r>
  <r>
    <x v="53"/>
    <s v="Laura Clark"/>
    <x v="7"/>
    <x v="4"/>
    <s v="Disappointed. The product arrived damaged."/>
    <x v="51"/>
    <x v="2"/>
    <x v="0"/>
  </r>
  <r>
    <x v="54"/>
    <s v="John Doe"/>
    <x v="4"/>
    <x v="0"/>
    <s v="The product broke within a few weeks, not durable."/>
    <x v="52"/>
    <x v="7"/>
    <x v="0"/>
  </r>
  <r>
    <x v="55"/>
    <s v="Emily Davis"/>
    <x v="4"/>
    <x v="1"/>
    <s v="The product broke within a few weeks, not durable."/>
    <x v="53"/>
    <x v="10"/>
    <x v="1"/>
  </r>
  <r>
    <x v="56"/>
    <s v="David Lee"/>
    <x v="7"/>
    <x v="0"/>
    <s v="Great customer service, the product exceeded expectations."/>
    <x v="54"/>
    <x v="4"/>
    <x v="0"/>
  </r>
  <r>
    <x v="57"/>
    <s v="James Taylor"/>
    <x v="9"/>
    <x v="4"/>
    <s v="The product broke within a few weeks, not durable."/>
    <x v="55"/>
    <x v="2"/>
    <x v="0"/>
  </r>
  <r>
    <x v="58"/>
    <s v="Sarah Wilson"/>
    <x v="3"/>
    <x v="2"/>
    <s v="Excellent product, really happy with the purchase!"/>
    <x v="48"/>
    <x v="7"/>
    <x v="2"/>
  </r>
  <r>
    <x v="59"/>
    <s v="John Doe"/>
    <x v="6"/>
    <x v="3"/>
    <s v="Not satisfied with the product. Would not recommend."/>
    <x v="39"/>
    <x v="12"/>
    <x v="1"/>
  </r>
  <r>
    <x v="60"/>
    <s v="Laura Clark"/>
    <x v="9"/>
    <x v="0"/>
    <s v="The product broke within a few weeks, not durable."/>
    <x v="56"/>
    <x v="6"/>
    <x v="0"/>
  </r>
  <r>
    <x v="61"/>
    <s v="Jane Smith"/>
    <x v="6"/>
    <x v="3"/>
    <s v="Excellent product, really happy with the purchase!"/>
    <x v="57"/>
    <x v="6"/>
    <x v="1"/>
  </r>
  <r>
    <x v="62"/>
    <s v="Jane Smith"/>
    <x v="9"/>
    <x v="1"/>
    <s v="The product broke within a few weeks, not durable."/>
    <x v="58"/>
    <x v="7"/>
    <x v="1"/>
  </r>
  <r>
    <x v="63"/>
    <s v="James Taylor"/>
    <x v="8"/>
    <x v="0"/>
    <s v="Perfect for my needs, exactly what I was looking for."/>
    <x v="59"/>
    <x v="7"/>
    <x v="0"/>
  </r>
  <r>
    <x v="64"/>
    <s v="David Lee"/>
    <x v="6"/>
    <x v="2"/>
    <s v="Disappointed. The product arrived damaged."/>
    <x v="60"/>
    <x v="3"/>
    <x v="2"/>
  </r>
  <r>
    <x v="65"/>
    <s v="Jane Smith"/>
    <x v="3"/>
    <x v="0"/>
    <s v="Great customer service, the product exceeded expectations."/>
    <x v="61"/>
    <x v="3"/>
    <x v="0"/>
  </r>
  <r>
    <x v="66"/>
    <s v="Emily Davis"/>
    <x v="4"/>
    <x v="3"/>
    <s v="The product broke within a few weeks, not durable."/>
    <x v="3"/>
    <x v="3"/>
    <x v="1"/>
  </r>
  <r>
    <x v="67"/>
    <s v="Laura Clark"/>
    <x v="1"/>
    <x v="3"/>
    <s v="Great customer service, the product exceeded expectations."/>
    <x v="62"/>
    <x v="5"/>
    <x v="1"/>
  </r>
  <r>
    <x v="68"/>
    <s v="David Lee"/>
    <x v="1"/>
    <x v="4"/>
    <s v="The product broke within a few weeks, not durable."/>
    <x v="21"/>
    <x v="3"/>
    <x v="0"/>
  </r>
  <r>
    <x v="69"/>
    <s v="Emily Davis"/>
    <x v="8"/>
    <x v="0"/>
    <s v="Great value for money, very reliable."/>
    <x v="63"/>
    <x v="0"/>
    <x v="0"/>
  </r>
  <r>
    <x v="70"/>
    <s v="David Lee"/>
    <x v="5"/>
    <x v="1"/>
    <s v="Excellent product, really happy with the purchase!"/>
    <x v="63"/>
    <x v="0"/>
    <x v="1"/>
  </r>
  <r>
    <x v="71"/>
    <s v="Mark Johnson"/>
    <x v="5"/>
    <x v="2"/>
    <s v="Good product, but the delivery was late."/>
    <x v="64"/>
    <x v="6"/>
    <x v="2"/>
  </r>
  <r>
    <x v="72"/>
    <s v="David Lee"/>
    <x v="5"/>
    <x v="1"/>
    <s v="It works fine, but there are better options available."/>
    <x v="65"/>
    <x v="0"/>
    <x v="1"/>
  </r>
  <r>
    <x v="73"/>
    <s v="Sarah Wilson"/>
    <x v="4"/>
    <x v="2"/>
    <s v="It works fine, but there are better options available."/>
    <x v="66"/>
    <x v="5"/>
    <x v="2"/>
  </r>
  <r>
    <x v="74"/>
    <s v="James Taylor"/>
    <x v="8"/>
    <x v="4"/>
    <s v="The product broke within a few weeks, not durable."/>
    <x v="67"/>
    <x v="11"/>
    <x v="0"/>
  </r>
  <r>
    <x v="75"/>
    <s v="Sarah Wilson"/>
    <x v="2"/>
    <x v="4"/>
    <s v="Not satisfied with the product. Would not recommend."/>
    <x v="68"/>
    <x v="5"/>
    <x v="0"/>
  </r>
  <r>
    <x v="76"/>
    <s v="Emily Davis"/>
    <x v="8"/>
    <x v="2"/>
    <s v="Not satisfied with the product. Would not recommend."/>
    <x v="69"/>
    <x v="7"/>
    <x v="2"/>
  </r>
  <r>
    <x v="77"/>
    <s v="David Lee"/>
    <x v="2"/>
    <x v="3"/>
    <s v="Great value for money, very reliable."/>
    <x v="70"/>
    <x v="3"/>
    <x v="1"/>
  </r>
  <r>
    <x v="78"/>
    <s v="Laura Clark"/>
    <x v="1"/>
    <x v="3"/>
    <s v="Excellent product, really happy with the purchase!"/>
    <x v="71"/>
    <x v="2"/>
    <x v="1"/>
  </r>
  <r>
    <x v="79"/>
    <s v="Jane Smith"/>
    <x v="5"/>
    <x v="3"/>
    <s v="Excellent product, really happy with the purchase!"/>
    <x v="72"/>
    <x v="1"/>
    <x v="1"/>
  </r>
  <r>
    <x v="80"/>
    <s v="Sophia Adams"/>
    <x v="6"/>
    <x v="4"/>
    <s v="Great customer service, the product exceeded expectations."/>
    <x v="73"/>
    <x v="0"/>
    <x v="0"/>
  </r>
  <r>
    <x v="81"/>
    <s v="Jane Smith"/>
    <x v="0"/>
    <x v="0"/>
    <s v="The product broke within a few weeks, not durable."/>
    <x v="72"/>
    <x v="1"/>
    <x v="0"/>
  </r>
  <r>
    <x v="82"/>
    <s v="Jane Smith"/>
    <x v="5"/>
    <x v="1"/>
    <s v="The quality could be better, but it's decent for the price."/>
    <x v="74"/>
    <x v="3"/>
    <x v="1"/>
  </r>
  <r>
    <x v="83"/>
    <s v="Sarah Wilson"/>
    <x v="1"/>
    <x v="1"/>
    <s v="Perfect for my needs, exactly what I was looking for."/>
    <x v="75"/>
    <x v="9"/>
    <x v="1"/>
  </r>
  <r>
    <x v="84"/>
    <s v="James Taylor"/>
    <x v="4"/>
    <x v="2"/>
    <s v="Not satisfied with the product. Would not recommend."/>
    <x v="76"/>
    <x v="0"/>
    <x v="2"/>
  </r>
  <r>
    <x v="85"/>
    <s v="David Lee"/>
    <x v="4"/>
    <x v="2"/>
    <s v="Great value for money, very reliable."/>
    <x v="77"/>
    <x v="11"/>
    <x v="2"/>
  </r>
  <r>
    <x v="86"/>
    <s v="Emily Davis"/>
    <x v="6"/>
    <x v="2"/>
    <s v="Perfect for my needs, exactly what I was looking for."/>
    <x v="78"/>
    <x v="1"/>
    <x v="2"/>
  </r>
  <r>
    <x v="87"/>
    <s v="Jane Smith"/>
    <x v="4"/>
    <x v="3"/>
    <s v="Great value for money, very reliable."/>
    <x v="79"/>
    <x v="12"/>
    <x v="1"/>
  </r>
  <r>
    <x v="88"/>
    <s v="Mark Johnson"/>
    <x v="0"/>
    <x v="1"/>
    <s v="Great value for money, very reliable."/>
    <x v="80"/>
    <x v="12"/>
    <x v="1"/>
  </r>
  <r>
    <x v="89"/>
    <s v="Michael Brown"/>
    <x v="4"/>
    <x v="3"/>
    <s v="It works fine, but there are better options available."/>
    <x v="81"/>
    <x v="3"/>
    <x v="1"/>
  </r>
  <r>
    <x v="90"/>
    <s v="Sophia Adams"/>
    <x v="5"/>
    <x v="4"/>
    <s v="Disappointed. The product arrived damaged."/>
    <x v="56"/>
    <x v="6"/>
    <x v="0"/>
  </r>
  <r>
    <x v="91"/>
    <s v="Emily Davis"/>
    <x v="9"/>
    <x v="0"/>
    <s v="Disappointed. The product arrived damaged."/>
    <x v="38"/>
    <x v="2"/>
    <x v="0"/>
  </r>
  <r>
    <x v="92"/>
    <s v="David Lee"/>
    <x v="5"/>
    <x v="1"/>
    <s v="Perfect for my needs, exactly what I was looking for."/>
    <x v="33"/>
    <x v="9"/>
    <x v="1"/>
  </r>
  <r>
    <x v="93"/>
    <s v="Sophia Adams"/>
    <x v="5"/>
    <x v="0"/>
    <s v="The product broke within a few weeks, not durable."/>
    <x v="82"/>
    <x v="4"/>
    <x v="0"/>
  </r>
  <r>
    <x v="94"/>
    <s v="Sophia Adams"/>
    <x v="5"/>
    <x v="4"/>
    <s v="Perfect for my needs, exactly what I was looking for."/>
    <x v="83"/>
    <x v="5"/>
    <x v="0"/>
  </r>
  <r>
    <x v="95"/>
    <s v="John Doe"/>
    <x v="5"/>
    <x v="3"/>
    <s v="The product broke within a few weeks, not durable."/>
    <x v="54"/>
    <x v="4"/>
    <x v="1"/>
  </r>
  <r>
    <x v="96"/>
    <s v="Mark Johnson"/>
    <x v="7"/>
    <x v="1"/>
    <s v="The quality could be better, but it's decent for the price."/>
    <x v="84"/>
    <x v="11"/>
    <x v="1"/>
  </r>
  <r>
    <x v="97"/>
    <s v="Michael Brown"/>
    <x v="4"/>
    <x v="3"/>
    <s v="Perfect for my needs, exactly what I was looking for."/>
    <x v="85"/>
    <x v="0"/>
    <x v="1"/>
  </r>
  <r>
    <x v="98"/>
    <s v="Jane Smith"/>
    <x v="0"/>
    <x v="0"/>
    <s v="It works fine, but there are better options available."/>
    <x v="86"/>
    <x v="6"/>
    <x v="0"/>
  </r>
  <r>
    <x v="99"/>
    <s v="Emily Davis"/>
    <x v="6"/>
    <x v="0"/>
    <s v="Great value for money, very reliable."/>
    <x v="87"/>
    <x v="4"/>
    <x v="0"/>
  </r>
  <r>
    <x v="100"/>
    <s v="Emily Davis"/>
    <x v="5"/>
    <x v="4"/>
    <s v="The quality could be better, but it's decent for the price."/>
    <x v="38"/>
    <x v="2"/>
    <x v="0"/>
  </r>
  <r>
    <x v="101"/>
    <s v="Sarah Wilson"/>
    <x v="8"/>
    <x v="0"/>
    <s v="Great customer service, the product exceeded expectations."/>
    <x v="88"/>
    <x v="1"/>
    <x v="0"/>
  </r>
  <r>
    <x v="102"/>
    <s v="Sarah Wilson"/>
    <x v="1"/>
    <x v="2"/>
    <s v="Great value for money, very reliable."/>
    <x v="89"/>
    <x v="10"/>
    <x v="2"/>
  </r>
  <r>
    <x v="103"/>
    <s v="Laura Clark"/>
    <x v="4"/>
    <x v="3"/>
    <s v="Great value for money, very reliable."/>
    <x v="90"/>
    <x v="11"/>
    <x v="1"/>
  </r>
  <r>
    <x v="104"/>
    <s v="Jane Smith"/>
    <x v="0"/>
    <x v="2"/>
    <s v="Good product, but the delivery was late."/>
    <x v="91"/>
    <x v="12"/>
    <x v="2"/>
  </r>
  <r>
    <x v="105"/>
    <s v="Laura Clark"/>
    <x v="2"/>
    <x v="3"/>
    <s v="Perfect for my needs, exactly what I was looking for."/>
    <x v="26"/>
    <x v="10"/>
    <x v="1"/>
  </r>
  <r>
    <x v="106"/>
    <s v="Jane Smith"/>
    <x v="0"/>
    <x v="0"/>
    <s v="Perfect for my needs, exactly what I was looking for."/>
    <x v="92"/>
    <x v="6"/>
    <x v="0"/>
  </r>
  <r>
    <x v="107"/>
    <s v="James Taylor"/>
    <x v="6"/>
    <x v="1"/>
    <s v="Great customer service, the product exceeded expectations."/>
    <x v="93"/>
    <x v="10"/>
    <x v="1"/>
  </r>
  <r>
    <x v="108"/>
    <s v="Emily Davis"/>
    <x v="1"/>
    <x v="1"/>
    <s v="Disappointed. The product arrived damaged."/>
    <x v="90"/>
    <x v="11"/>
    <x v="1"/>
  </r>
  <r>
    <x v="109"/>
    <s v="James Taylor"/>
    <x v="0"/>
    <x v="2"/>
    <s v="Great value for money, very reliable."/>
    <x v="32"/>
    <x v="12"/>
    <x v="2"/>
  </r>
  <r>
    <x v="110"/>
    <s v="Sarah Wilson"/>
    <x v="1"/>
    <x v="4"/>
    <s v="Good product, but the delivery was late."/>
    <x v="94"/>
    <x v="5"/>
    <x v="0"/>
  </r>
  <r>
    <x v="111"/>
    <s v="Sophia Adams"/>
    <x v="4"/>
    <x v="1"/>
    <s v="The quality could be better, but it's decent for the price."/>
    <x v="95"/>
    <x v="12"/>
    <x v="1"/>
  </r>
  <r>
    <x v="112"/>
    <s v="Mark Johnson"/>
    <x v="8"/>
    <x v="0"/>
    <s v="Disappointed. The product arrived damaged."/>
    <x v="49"/>
    <x v="2"/>
    <x v="0"/>
  </r>
  <r>
    <x v="113"/>
    <s v="David Lee"/>
    <x v="4"/>
    <x v="3"/>
    <s v="Great value for money, very reliable."/>
    <x v="96"/>
    <x v="3"/>
    <x v="1"/>
  </r>
  <r>
    <x v="114"/>
    <s v="Sophia Adams"/>
    <x v="1"/>
    <x v="2"/>
    <s v="The quality could be better, but it's decent for the price."/>
    <x v="28"/>
    <x v="8"/>
    <x v="2"/>
  </r>
  <r>
    <x v="115"/>
    <s v="Sophia Adams"/>
    <x v="5"/>
    <x v="1"/>
    <s v="Disappointed. The product arrived damaged."/>
    <x v="97"/>
    <x v="9"/>
    <x v="1"/>
  </r>
  <r>
    <x v="116"/>
    <s v="Sarah Wilson"/>
    <x v="8"/>
    <x v="3"/>
    <s v="Not satisfied with the product. Would not recommend."/>
    <x v="98"/>
    <x v="7"/>
    <x v="1"/>
  </r>
  <r>
    <x v="117"/>
    <s v="Sophia Adams"/>
    <x v="5"/>
    <x v="1"/>
    <s v="Great customer service, the product exceeded expectations."/>
    <x v="99"/>
    <x v="5"/>
    <x v="1"/>
  </r>
  <r>
    <x v="118"/>
    <s v="David Lee"/>
    <x v="7"/>
    <x v="0"/>
    <s v="Great customer service, the product exceeded expectations."/>
    <x v="100"/>
    <x v="1"/>
    <x v="0"/>
  </r>
  <r>
    <x v="119"/>
    <s v="Michael Brown"/>
    <x v="8"/>
    <x v="0"/>
    <s v="Great value for money, very reliable."/>
    <x v="101"/>
    <x v="2"/>
    <x v="0"/>
  </r>
  <r>
    <x v="120"/>
    <s v="Mark Johnson"/>
    <x v="1"/>
    <x v="4"/>
    <s v="Perfect for my needs, exactly what I was looking for."/>
    <x v="102"/>
    <x v="8"/>
    <x v="0"/>
  </r>
  <r>
    <x v="121"/>
    <s v="James Taylor"/>
    <x v="2"/>
    <x v="2"/>
    <s v="The product broke within a few weeks, not durable."/>
    <x v="103"/>
    <x v="8"/>
    <x v="2"/>
  </r>
  <r>
    <x v="122"/>
    <s v="Jane Smith"/>
    <x v="6"/>
    <x v="3"/>
    <s v="Great customer service, the product exceeded expectations."/>
    <x v="104"/>
    <x v="2"/>
    <x v="1"/>
  </r>
  <r>
    <x v="123"/>
    <s v="Sarah Wilson"/>
    <x v="2"/>
    <x v="2"/>
    <s v="Perfect for my needs, exactly what I was looking for."/>
    <x v="105"/>
    <x v="6"/>
    <x v="2"/>
  </r>
  <r>
    <x v="124"/>
    <s v="Laura Clark"/>
    <x v="7"/>
    <x v="1"/>
    <s v="Great value for money, very reliable."/>
    <x v="24"/>
    <x v="5"/>
    <x v="1"/>
  </r>
  <r>
    <x v="125"/>
    <s v="David Lee"/>
    <x v="2"/>
    <x v="2"/>
    <s v="Disappointed. The product arrived damaged."/>
    <x v="106"/>
    <x v="7"/>
    <x v="2"/>
  </r>
  <r>
    <x v="126"/>
    <s v="Emily Davis"/>
    <x v="5"/>
    <x v="2"/>
    <s v="Good product, but the delivery was late."/>
    <x v="95"/>
    <x v="12"/>
    <x v="2"/>
  </r>
  <r>
    <x v="127"/>
    <s v="Michael Brown"/>
    <x v="8"/>
    <x v="4"/>
    <s v="Not satisfied with the product. Would not recommend."/>
    <x v="107"/>
    <x v="5"/>
    <x v="0"/>
  </r>
  <r>
    <x v="128"/>
    <s v="Emily Davis"/>
    <x v="9"/>
    <x v="1"/>
    <s v="Great value for money, very reliable."/>
    <x v="108"/>
    <x v="8"/>
    <x v="1"/>
  </r>
  <r>
    <x v="129"/>
    <s v="Sophia Adams"/>
    <x v="0"/>
    <x v="1"/>
    <s v="Great value for money, very reliable."/>
    <x v="109"/>
    <x v="7"/>
    <x v="1"/>
  </r>
  <r>
    <x v="130"/>
    <s v="Laura Clark"/>
    <x v="4"/>
    <x v="2"/>
    <s v="Not satisfied with the product. Would not recommend."/>
    <x v="99"/>
    <x v="5"/>
    <x v="2"/>
  </r>
  <r>
    <x v="131"/>
    <s v="John Doe"/>
    <x v="1"/>
    <x v="0"/>
    <s v="It works fine, but there are better options available."/>
    <x v="84"/>
    <x v="11"/>
    <x v="0"/>
  </r>
  <r>
    <x v="132"/>
    <s v="John Doe"/>
    <x v="4"/>
    <x v="3"/>
    <s v="Good product, but the delivery was late."/>
    <x v="34"/>
    <x v="9"/>
    <x v="1"/>
  </r>
  <r>
    <x v="133"/>
    <s v="James Taylor"/>
    <x v="8"/>
    <x v="0"/>
    <s v="It works fine, but there are better options available."/>
    <x v="110"/>
    <x v="2"/>
    <x v="0"/>
  </r>
  <r>
    <x v="134"/>
    <s v="David Lee"/>
    <x v="2"/>
    <x v="1"/>
    <s v="Not satisfied with the product. Would not recommend."/>
    <x v="13"/>
    <x v="7"/>
    <x v="1"/>
  </r>
  <r>
    <x v="135"/>
    <s v="Sarah Wilson"/>
    <x v="6"/>
    <x v="0"/>
    <s v="The quality could be better, but it's decent for the price."/>
    <x v="111"/>
    <x v="9"/>
    <x v="0"/>
  </r>
  <r>
    <x v="136"/>
    <s v="David Lee"/>
    <x v="5"/>
    <x v="3"/>
    <s v="The quality could be better, but it's decent for the price."/>
    <x v="112"/>
    <x v="2"/>
    <x v="1"/>
  </r>
  <r>
    <x v="137"/>
    <s v="James Taylor"/>
    <x v="4"/>
    <x v="4"/>
    <s v="Good product, but the delivery was late."/>
    <x v="78"/>
    <x v="1"/>
    <x v="0"/>
  </r>
  <r>
    <x v="138"/>
    <s v="Michael Brown"/>
    <x v="1"/>
    <x v="3"/>
    <s v="The quality could be better, but it's decent for the price."/>
    <x v="113"/>
    <x v="1"/>
    <x v="1"/>
  </r>
  <r>
    <x v="139"/>
    <s v="Jane Smith"/>
    <x v="1"/>
    <x v="1"/>
    <s v="Disappointed. The product arrived damaged."/>
    <x v="114"/>
    <x v="5"/>
    <x v="1"/>
  </r>
  <r>
    <x v="140"/>
    <s v="David Lee"/>
    <x v="5"/>
    <x v="0"/>
    <s v="Perfect for my needs, exactly what I was looking for."/>
    <x v="115"/>
    <x v="12"/>
    <x v="0"/>
  </r>
  <r>
    <x v="141"/>
    <s v="Jane Smith"/>
    <x v="9"/>
    <x v="4"/>
    <s v="Perfect for my needs, exactly what I was looking for."/>
    <x v="116"/>
    <x v="3"/>
    <x v="0"/>
  </r>
  <r>
    <x v="142"/>
    <s v="John Doe"/>
    <x v="7"/>
    <x v="3"/>
    <s v="Good product, but the delivery was late."/>
    <x v="88"/>
    <x v="1"/>
    <x v="1"/>
  </r>
  <r>
    <x v="143"/>
    <s v="John Doe"/>
    <x v="3"/>
    <x v="0"/>
    <s v="The quality could be better, but it's decent for the price."/>
    <x v="117"/>
    <x v="5"/>
    <x v="0"/>
  </r>
  <r>
    <x v="144"/>
    <s v="Sarah Wilson"/>
    <x v="7"/>
    <x v="0"/>
    <s v="Good product, but the delivery was late."/>
    <x v="5"/>
    <x v="4"/>
    <x v="0"/>
  </r>
  <r>
    <x v="145"/>
    <s v="Jane Smith"/>
    <x v="2"/>
    <x v="0"/>
    <s v="Excellent product, really happy with the purchase!"/>
    <x v="118"/>
    <x v="10"/>
    <x v="0"/>
  </r>
  <r>
    <x v="146"/>
    <s v="Laura Clark"/>
    <x v="9"/>
    <x v="3"/>
    <s v="Great value for money, very reliable."/>
    <x v="119"/>
    <x v="9"/>
    <x v="1"/>
  </r>
  <r>
    <x v="147"/>
    <s v="Mark Johnson"/>
    <x v="7"/>
    <x v="2"/>
    <s v="Excellent product, really happy with the purchase!"/>
    <x v="120"/>
    <x v="12"/>
    <x v="2"/>
  </r>
  <r>
    <x v="148"/>
    <s v="Emily Davis"/>
    <x v="1"/>
    <x v="3"/>
    <s v="Excellent product, really happy with the purchase!"/>
    <x v="121"/>
    <x v="12"/>
    <x v="1"/>
  </r>
  <r>
    <x v="149"/>
    <s v="John Doe"/>
    <x v="2"/>
    <x v="0"/>
    <s v="The quality could be better, but it's decent for the price."/>
    <x v="117"/>
    <x v="5"/>
    <x v="0"/>
  </r>
  <r>
    <x v="150"/>
    <s v="Jane Smith"/>
    <x v="2"/>
    <x v="3"/>
    <s v="Disappointed. The product arrived damaged."/>
    <x v="122"/>
    <x v="3"/>
    <x v="1"/>
  </r>
  <r>
    <x v="151"/>
    <s v="Mark Johnson"/>
    <x v="3"/>
    <x v="4"/>
    <s v="Disappointed. The product arrived damaged."/>
    <x v="48"/>
    <x v="7"/>
    <x v="0"/>
  </r>
  <r>
    <x v="152"/>
    <s v="Sarah Wilson"/>
    <x v="4"/>
    <x v="2"/>
    <s v="The product broke within a few weeks, not durable."/>
    <x v="123"/>
    <x v="5"/>
    <x v="2"/>
  </r>
  <r>
    <x v="153"/>
    <s v="Michael Brown"/>
    <x v="7"/>
    <x v="0"/>
    <s v="It works fine, but there are better options available."/>
    <x v="25"/>
    <x v="9"/>
    <x v="0"/>
  </r>
  <r>
    <x v="154"/>
    <s v="Jane Smith"/>
    <x v="1"/>
    <x v="2"/>
    <s v="Great customer service, the product exceeded expectations."/>
    <x v="91"/>
    <x v="12"/>
    <x v="2"/>
  </r>
  <r>
    <x v="155"/>
    <s v="Mark Johnson"/>
    <x v="9"/>
    <x v="1"/>
    <s v="Perfect for my needs, exactly what I was looking for."/>
    <x v="76"/>
    <x v="0"/>
    <x v="1"/>
  </r>
  <r>
    <x v="156"/>
    <s v="Mark Johnson"/>
    <x v="9"/>
    <x v="4"/>
    <s v="Perfect for my needs, exactly what I was looking for."/>
    <x v="124"/>
    <x v="2"/>
    <x v="0"/>
  </r>
  <r>
    <x v="157"/>
    <s v="Michael Brown"/>
    <x v="1"/>
    <x v="3"/>
    <s v="Not satisfied with the product. Would not recommend."/>
    <x v="125"/>
    <x v="3"/>
    <x v="1"/>
  </r>
  <r>
    <x v="158"/>
    <s v="James Taylor"/>
    <x v="5"/>
    <x v="4"/>
    <s v="The quality could be better, but it's decent for the price."/>
    <x v="126"/>
    <x v="1"/>
    <x v="0"/>
  </r>
  <r>
    <x v="159"/>
    <s v="John Doe"/>
    <x v="3"/>
    <x v="4"/>
    <s v="Excellent product, really happy with the purchase!"/>
    <x v="127"/>
    <x v="5"/>
    <x v="0"/>
  </r>
  <r>
    <x v="160"/>
    <s v="Sarah Wilson"/>
    <x v="1"/>
    <x v="0"/>
    <s v="The quality could be better, but it's decent for the price."/>
    <x v="128"/>
    <x v="9"/>
    <x v="0"/>
  </r>
  <r>
    <x v="161"/>
    <s v="John Doe"/>
    <x v="8"/>
    <x v="3"/>
    <s v="Disappointed. The product arrived damaged."/>
    <x v="129"/>
    <x v="3"/>
    <x v="1"/>
  </r>
  <r>
    <x v="162"/>
    <s v="Michael Brown"/>
    <x v="5"/>
    <x v="3"/>
    <s v="Great customer service, the product exceeded expectations."/>
    <x v="89"/>
    <x v="10"/>
    <x v="1"/>
  </r>
  <r>
    <x v="163"/>
    <s v="Sarah Wilson"/>
    <x v="5"/>
    <x v="1"/>
    <s v="The quality could be better, but it's decent for the price."/>
    <x v="130"/>
    <x v="3"/>
    <x v="1"/>
  </r>
  <r>
    <x v="164"/>
    <s v="Emily Davis"/>
    <x v="4"/>
    <x v="2"/>
    <s v="It works fine, but there are better options available."/>
    <x v="131"/>
    <x v="1"/>
    <x v="2"/>
  </r>
  <r>
    <x v="165"/>
    <s v="James Taylor"/>
    <x v="8"/>
    <x v="1"/>
    <s v="Great customer service, the product exceeded expectations."/>
    <x v="132"/>
    <x v="10"/>
    <x v="1"/>
  </r>
  <r>
    <x v="166"/>
    <s v="Emily Davis"/>
    <x v="3"/>
    <x v="2"/>
    <s v="Good product, but the delivery was late."/>
    <x v="133"/>
    <x v="9"/>
    <x v="2"/>
  </r>
  <r>
    <x v="167"/>
    <s v="Sophia Adams"/>
    <x v="4"/>
    <x v="0"/>
    <s v="It works fine, but there are better options available."/>
    <x v="134"/>
    <x v="9"/>
    <x v="0"/>
  </r>
  <r>
    <x v="168"/>
    <s v="David Lee"/>
    <x v="9"/>
    <x v="1"/>
    <s v="Good product, but the delivery was late."/>
    <x v="110"/>
    <x v="2"/>
    <x v="1"/>
  </r>
  <r>
    <x v="169"/>
    <s v="Michael Brown"/>
    <x v="6"/>
    <x v="2"/>
    <s v="Great value for money, very reliable."/>
    <x v="135"/>
    <x v="1"/>
    <x v="2"/>
  </r>
  <r>
    <x v="170"/>
    <s v="Sarah Wilson"/>
    <x v="3"/>
    <x v="4"/>
    <s v="Not satisfied with the product. Would not recommend."/>
    <x v="109"/>
    <x v="7"/>
    <x v="0"/>
  </r>
  <r>
    <x v="171"/>
    <s v="James Taylor"/>
    <x v="8"/>
    <x v="1"/>
    <s v="Great value for money, very reliable."/>
    <x v="136"/>
    <x v="12"/>
    <x v="1"/>
  </r>
  <r>
    <x v="172"/>
    <s v="Sarah Wilson"/>
    <x v="6"/>
    <x v="2"/>
    <s v="Great value for money, very reliable."/>
    <x v="90"/>
    <x v="11"/>
    <x v="2"/>
  </r>
  <r>
    <x v="173"/>
    <s v="James Taylor"/>
    <x v="1"/>
    <x v="4"/>
    <s v="Excellent product, really happy with the purchase!"/>
    <x v="137"/>
    <x v="9"/>
    <x v="0"/>
  </r>
  <r>
    <x v="174"/>
    <s v="Sarah Wilson"/>
    <x v="0"/>
    <x v="4"/>
    <s v="Good product, but the delivery was late."/>
    <x v="138"/>
    <x v="6"/>
    <x v="0"/>
  </r>
  <r>
    <x v="175"/>
    <s v="James Taylor"/>
    <x v="4"/>
    <x v="0"/>
    <s v="Excellent product, really happy with the purchase!"/>
    <x v="139"/>
    <x v="6"/>
    <x v="0"/>
  </r>
  <r>
    <x v="176"/>
    <s v="Emily Davis"/>
    <x v="2"/>
    <x v="4"/>
    <s v="The quality could be better, but it's decent for the price."/>
    <x v="140"/>
    <x v="7"/>
    <x v="0"/>
  </r>
  <r>
    <x v="177"/>
    <s v="Laura Clark"/>
    <x v="8"/>
    <x v="3"/>
    <s v="Great value for money, very reliable."/>
    <x v="141"/>
    <x v="8"/>
    <x v="1"/>
  </r>
  <r>
    <x v="178"/>
    <s v="Laura Clark"/>
    <x v="2"/>
    <x v="3"/>
    <s v="Great customer service, the product exceeded expectations."/>
    <x v="142"/>
    <x v="1"/>
    <x v="1"/>
  </r>
  <r>
    <x v="179"/>
    <s v="Jane Smith"/>
    <x v="3"/>
    <x v="2"/>
    <s v="Great value for money, very reliable."/>
    <x v="143"/>
    <x v="12"/>
    <x v="2"/>
  </r>
  <r>
    <x v="180"/>
    <s v="Sophia Adams"/>
    <x v="5"/>
    <x v="4"/>
    <s v="Excellent product, really happy with the purchase!"/>
    <x v="144"/>
    <x v="6"/>
    <x v="0"/>
  </r>
  <r>
    <x v="181"/>
    <s v="Emily Davis"/>
    <x v="2"/>
    <x v="0"/>
    <s v="Great customer service, the product exceeded expectations."/>
    <x v="37"/>
    <x v="7"/>
    <x v="0"/>
  </r>
  <r>
    <x v="182"/>
    <s v="Jane Smith"/>
    <x v="6"/>
    <x v="3"/>
    <s v="It works fine, but there are better options available."/>
    <x v="74"/>
    <x v="3"/>
    <x v="1"/>
  </r>
  <r>
    <x v="183"/>
    <s v="James Taylor"/>
    <x v="1"/>
    <x v="1"/>
    <s v="The quality could be better, but it's decent for the price."/>
    <x v="145"/>
    <x v="12"/>
    <x v="1"/>
  </r>
  <r>
    <x v="184"/>
    <s v="Emily Davis"/>
    <x v="6"/>
    <x v="3"/>
    <s v="Not satisfied with the product. Would not recommend."/>
    <x v="146"/>
    <x v="8"/>
    <x v="1"/>
  </r>
  <r>
    <x v="185"/>
    <s v="Laura Clark"/>
    <x v="4"/>
    <x v="3"/>
    <s v="The quality could be better, but it's decent for the price."/>
    <x v="44"/>
    <x v="10"/>
    <x v="1"/>
  </r>
  <r>
    <x v="186"/>
    <s v="Sarah Wilson"/>
    <x v="7"/>
    <x v="2"/>
    <s v="Disappointed. The product arrived damaged."/>
    <x v="75"/>
    <x v="9"/>
    <x v="2"/>
  </r>
  <r>
    <x v="187"/>
    <s v="Laura Clark"/>
    <x v="3"/>
    <x v="1"/>
    <s v="The quality could be better, but it's decent for the price."/>
    <x v="106"/>
    <x v="7"/>
    <x v="1"/>
  </r>
  <r>
    <x v="188"/>
    <s v="Michael Brown"/>
    <x v="9"/>
    <x v="0"/>
    <s v="Great value for money, very reliable."/>
    <x v="147"/>
    <x v="6"/>
    <x v="0"/>
  </r>
  <r>
    <x v="189"/>
    <s v="James Taylor"/>
    <x v="0"/>
    <x v="4"/>
    <s v="Disappointed. The product arrived damaged."/>
    <x v="148"/>
    <x v="0"/>
    <x v="0"/>
  </r>
  <r>
    <x v="190"/>
    <s v="Emily Davis"/>
    <x v="4"/>
    <x v="2"/>
    <s v="Perfect for my needs, exactly what I was looking for."/>
    <x v="149"/>
    <x v="0"/>
    <x v="2"/>
  </r>
  <r>
    <x v="191"/>
    <s v="Mark Johnson"/>
    <x v="1"/>
    <x v="2"/>
    <s v="It works fine, but there are better options available."/>
    <x v="150"/>
    <x v="10"/>
    <x v="2"/>
  </r>
  <r>
    <x v="192"/>
    <s v="John Doe"/>
    <x v="2"/>
    <x v="2"/>
    <s v="Not satisfied with the product. Would not recommend."/>
    <x v="2"/>
    <x v="2"/>
    <x v="2"/>
  </r>
  <r>
    <x v="193"/>
    <s v="David Lee"/>
    <x v="8"/>
    <x v="4"/>
    <s v="Disappointed. The product arrived damaged."/>
    <x v="151"/>
    <x v="1"/>
    <x v="0"/>
  </r>
  <r>
    <x v="194"/>
    <s v="David Lee"/>
    <x v="7"/>
    <x v="2"/>
    <s v="The quality could be better, but it's decent for the price."/>
    <x v="152"/>
    <x v="0"/>
    <x v="2"/>
  </r>
  <r>
    <x v="195"/>
    <s v="Jane Smith"/>
    <x v="6"/>
    <x v="0"/>
    <s v="Perfect for my needs, exactly what I was looking for."/>
    <x v="153"/>
    <x v="0"/>
    <x v="0"/>
  </r>
  <r>
    <x v="196"/>
    <s v="Mark Johnson"/>
    <x v="7"/>
    <x v="4"/>
    <s v="Excellent product, really happy with the purchase!"/>
    <x v="154"/>
    <x v="8"/>
    <x v="0"/>
  </r>
  <r>
    <x v="197"/>
    <s v="Sarah Wilson"/>
    <x v="0"/>
    <x v="3"/>
    <s v="Perfect for my needs, exactly what I was looking for."/>
    <x v="120"/>
    <x v="12"/>
    <x v="1"/>
  </r>
  <r>
    <x v="198"/>
    <s v="James Taylor"/>
    <x v="0"/>
    <x v="0"/>
    <s v="The quality could be better, but it's decent for the price."/>
    <x v="145"/>
    <x v="12"/>
    <x v="0"/>
  </r>
  <r>
    <x v="199"/>
    <s v="John Doe"/>
    <x v="3"/>
    <x v="1"/>
    <s v="It works fine, but there are better options available."/>
    <x v="120"/>
    <x v="12"/>
    <x v="1"/>
  </r>
  <r>
    <x v="200"/>
    <s v="Sarah Wilson"/>
    <x v="4"/>
    <x v="1"/>
    <s v="Great value for money, very reliable."/>
    <x v="155"/>
    <x v="9"/>
    <x v="1"/>
  </r>
  <r>
    <x v="201"/>
    <s v="James Taylor"/>
    <x v="0"/>
    <x v="0"/>
    <s v="Great value for money, very reliable."/>
    <x v="156"/>
    <x v="6"/>
    <x v="0"/>
  </r>
  <r>
    <x v="202"/>
    <s v="Mark Johnson"/>
    <x v="8"/>
    <x v="2"/>
    <s v="The product broke within a few weeks, not durable."/>
    <x v="157"/>
    <x v="2"/>
    <x v="2"/>
  </r>
  <r>
    <x v="203"/>
    <s v="James Taylor"/>
    <x v="7"/>
    <x v="2"/>
    <s v="Not satisfied with the product. Would not recommend."/>
    <x v="158"/>
    <x v="3"/>
    <x v="2"/>
  </r>
  <r>
    <x v="204"/>
    <s v="Sophia Adams"/>
    <x v="5"/>
    <x v="2"/>
    <s v="It works fine, but there are better options available."/>
    <x v="159"/>
    <x v="4"/>
    <x v="2"/>
  </r>
  <r>
    <x v="205"/>
    <s v="David Lee"/>
    <x v="2"/>
    <x v="2"/>
    <s v="Perfect for my needs, exactly what I was looking for."/>
    <x v="87"/>
    <x v="4"/>
    <x v="2"/>
  </r>
  <r>
    <x v="206"/>
    <s v="Michael Brown"/>
    <x v="5"/>
    <x v="0"/>
    <s v="Excellent product, really happy with the purchase!"/>
    <x v="160"/>
    <x v="7"/>
    <x v="0"/>
  </r>
  <r>
    <x v="207"/>
    <s v="Laura Clark"/>
    <x v="5"/>
    <x v="3"/>
    <s v="Great value for money, very reliable."/>
    <x v="47"/>
    <x v="4"/>
    <x v="1"/>
  </r>
  <r>
    <x v="208"/>
    <s v="Sophia Adams"/>
    <x v="9"/>
    <x v="1"/>
    <s v="Good product, but the delivery was late."/>
    <x v="50"/>
    <x v="10"/>
    <x v="1"/>
  </r>
  <r>
    <x v="209"/>
    <s v="Michael Brown"/>
    <x v="5"/>
    <x v="3"/>
    <s v="Not satisfied with the product. Would not recommend."/>
    <x v="161"/>
    <x v="6"/>
    <x v="1"/>
  </r>
  <r>
    <x v="210"/>
    <s v="Michael Brown"/>
    <x v="2"/>
    <x v="2"/>
    <s v="Perfect for my needs, exactly what I was looking for."/>
    <x v="53"/>
    <x v="10"/>
    <x v="2"/>
  </r>
  <r>
    <x v="211"/>
    <s v="Emily Davis"/>
    <x v="7"/>
    <x v="3"/>
    <s v="Disappointed. The product arrived damaged."/>
    <x v="124"/>
    <x v="2"/>
    <x v="1"/>
  </r>
  <r>
    <x v="212"/>
    <s v="James Taylor"/>
    <x v="2"/>
    <x v="4"/>
    <s v="Great customer service, the product exceeded expectations."/>
    <x v="162"/>
    <x v="8"/>
    <x v="0"/>
  </r>
  <r>
    <x v="213"/>
    <s v="Michael Brown"/>
    <x v="0"/>
    <x v="3"/>
    <s v="Great value for money, very reliable."/>
    <x v="77"/>
    <x v="11"/>
    <x v="1"/>
  </r>
  <r>
    <x v="214"/>
    <s v="Sophia Adams"/>
    <x v="5"/>
    <x v="2"/>
    <s v="It works fine, but there are better options available."/>
    <x v="163"/>
    <x v="7"/>
    <x v="2"/>
  </r>
  <r>
    <x v="215"/>
    <s v="David Lee"/>
    <x v="0"/>
    <x v="3"/>
    <s v="The product broke within a few weeks, not durable."/>
    <x v="164"/>
    <x v="0"/>
    <x v="1"/>
  </r>
  <r>
    <x v="216"/>
    <s v="Sophia Adams"/>
    <x v="7"/>
    <x v="2"/>
    <s v="Good product, but the delivery was late."/>
    <x v="157"/>
    <x v="2"/>
    <x v="2"/>
  </r>
  <r>
    <x v="217"/>
    <s v="Emily Davis"/>
    <x v="1"/>
    <x v="0"/>
    <s v="Disappointed. The product arrived damaged."/>
    <x v="127"/>
    <x v="5"/>
    <x v="0"/>
  </r>
  <r>
    <x v="218"/>
    <s v="David Lee"/>
    <x v="4"/>
    <x v="3"/>
    <s v="Good product, but the delivery was late."/>
    <x v="54"/>
    <x v="4"/>
    <x v="1"/>
  </r>
  <r>
    <x v="219"/>
    <s v="Mark Johnson"/>
    <x v="8"/>
    <x v="0"/>
    <s v="It works fine, but there are better options available."/>
    <x v="145"/>
    <x v="12"/>
    <x v="0"/>
  </r>
  <r>
    <x v="220"/>
    <s v="Michael Brown"/>
    <x v="7"/>
    <x v="2"/>
    <s v="The quality could be better, but it's decent for the price."/>
    <x v="165"/>
    <x v="2"/>
    <x v="2"/>
  </r>
  <r>
    <x v="221"/>
    <s v="Jane Smith"/>
    <x v="2"/>
    <x v="4"/>
    <s v="The product broke within a few weeks, not durable."/>
    <x v="166"/>
    <x v="5"/>
    <x v="0"/>
  </r>
  <r>
    <x v="222"/>
    <s v="Michael Brown"/>
    <x v="0"/>
    <x v="4"/>
    <s v="Perfect for my needs, exactly what I was looking for."/>
    <x v="45"/>
    <x v="9"/>
    <x v="0"/>
  </r>
  <r>
    <x v="223"/>
    <s v="James Taylor"/>
    <x v="5"/>
    <x v="2"/>
    <s v="Perfect for my needs, exactly what I was looking for."/>
    <x v="25"/>
    <x v="9"/>
    <x v="2"/>
  </r>
  <r>
    <x v="224"/>
    <s v="Michael Brown"/>
    <x v="8"/>
    <x v="4"/>
    <s v="It works fine, but there are better options available."/>
    <x v="167"/>
    <x v="6"/>
    <x v="0"/>
  </r>
  <r>
    <x v="225"/>
    <s v="John Doe"/>
    <x v="3"/>
    <x v="1"/>
    <s v="Not satisfied with the product. Would not recommend."/>
    <x v="168"/>
    <x v="1"/>
    <x v="1"/>
  </r>
  <r>
    <x v="226"/>
    <s v="James Taylor"/>
    <x v="9"/>
    <x v="2"/>
    <s v="The product broke within a few weeks, not durable."/>
    <x v="166"/>
    <x v="5"/>
    <x v="2"/>
  </r>
  <r>
    <x v="227"/>
    <s v="John Doe"/>
    <x v="6"/>
    <x v="4"/>
    <s v="The quality could be better, but it's decent for the price."/>
    <x v="169"/>
    <x v="7"/>
    <x v="0"/>
  </r>
  <r>
    <x v="228"/>
    <s v="Michael Brown"/>
    <x v="3"/>
    <x v="4"/>
    <s v="Good product, but the delivery was late."/>
    <x v="4"/>
    <x v="1"/>
    <x v="0"/>
  </r>
  <r>
    <x v="229"/>
    <s v="Laura Clark"/>
    <x v="1"/>
    <x v="1"/>
    <s v="Great customer service, the product exceeded expectations."/>
    <x v="57"/>
    <x v="6"/>
    <x v="1"/>
  </r>
  <r>
    <x v="230"/>
    <s v="Emily Davis"/>
    <x v="3"/>
    <x v="0"/>
    <s v="Perfect for my needs, exactly what I was looking for."/>
    <x v="170"/>
    <x v="4"/>
    <x v="0"/>
  </r>
  <r>
    <x v="231"/>
    <s v="Laura Clark"/>
    <x v="4"/>
    <x v="0"/>
    <s v="Disappointed. The product arrived damaged."/>
    <x v="171"/>
    <x v="5"/>
    <x v="0"/>
  </r>
  <r>
    <x v="232"/>
    <s v="David Lee"/>
    <x v="6"/>
    <x v="4"/>
    <s v="The product broke within a few weeks, not durable."/>
    <x v="40"/>
    <x v="6"/>
    <x v="0"/>
  </r>
  <r>
    <x v="233"/>
    <s v="Emily Davis"/>
    <x v="8"/>
    <x v="4"/>
    <s v="The product broke within a few weeks, not durable."/>
    <x v="172"/>
    <x v="9"/>
    <x v="0"/>
  </r>
  <r>
    <x v="234"/>
    <s v="Sophia Adams"/>
    <x v="8"/>
    <x v="3"/>
    <s v="Good product, but the delivery was late."/>
    <x v="173"/>
    <x v="3"/>
    <x v="1"/>
  </r>
  <r>
    <x v="235"/>
    <s v="Sophia Adams"/>
    <x v="7"/>
    <x v="4"/>
    <s v="Good product, but the delivery was late."/>
    <x v="174"/>
    <x v="9"/>
    <x v="0"/>
  </r>
  <r>
    <x v="236"/>
    <s v="David Lee"/>
    <x v="5"/>
    <x v="4"/>
    <s v="It works fine, but there are better options available."/>
    <x v="102"/>
    <x v="8"/>
    <x v="0"/>
  </r>
  <r>
    <x v="237"/>
    <s v="Mark Johnson"/>
    <x v="1"/>
    <x v="4"/>
    <s v="Good product, but the delivery was late."/>
    <x v="175"/>
    <x v="8"/>
    <x v="0"/>
  </r>
  <r>
    <x v="94"/>
    <s v="Jane Smith"/>
    <x v="4"/>
    <x v="4"/>
    <s v="Perfect for my needs, exactly what I was looking for."/>
    <x v="176"/>
    <x v="0"/>
    <x v="0"/>
  </r>
  <r>
    <x v="238"/>
    <s v="Laura Clark"/>
    <x v="0"/>
    <x v="4"/>
    <s v="Great customer service, the product exceeded expectations."/>
    <x v="159"/>
    <x v="4"/>
    <x v="0"/>
  </r>
  <r>
    <x v="239"/>
    <s v="John Doe"/>
    <x v="6"/>
    <x v="2"/>
    <s v="Disappointed. The product arrived damaged."/>
    <x v="177"/>
    <x v="5"/>
    <x v="2"/>
  </r>
  <r>
    <x v="240"/>
    <s v="Laura Clark"/>
    <x v="9"/>
    <x v="3"/>
    <s v="Great value for money, very reliable."/>
    <x v="178"/>
    <x v="0"/>
    <x v="1"/>
  </r>
  <r>
    <x v="241"/>
    <s v="Laura Clark"/>
    <x v="4"/>
    <x v="0"/>
    <s v="It works fine, but there are better options available."/>
    <x v="117"/>
    <x v="5"/>
    <x v="0"/>
  </r>
  <r>
    <x v="242"/>
    <s v="Michael Brown"/>
    <x v="4"/>
    <x v="3"/>
    <s v="It works fine, but there are better options available."/>
    <x v="179"/>
    <x v="12"/>
    <x v="1"/>
  </r>
  <r>
    <x v="243"/>
    <s v="John Doe"/>
    <x v="6"/>
    <x v="2"/>
    <s v="Great customer service, the product exceeded expectations."/>
    <x v="180"/>
    <x v="3"/>
    <x v="2"/>
  </r>
  <r>
    <x v="244"/>
    <s v="John Doe"/>
    <x v="8"/>
    <x v="0"/>
    <s v="Perfect for my needs, exactly what I was looking for."/>
    <x v="181"/>
    <x v="4"/>
    <x v="0"/>
  </r>
  <r>
    <x v="245"/>
    <s v="David Lee"/>
    <x v="0"/>
    <x v="0"/>
    <s v="Not satisfied with the product. Would not recommend."/>
    <x v="38"/>
    <x v="2"/>
    <x v="0"/>
  </r>
  <r>
    <x v="246"/>
    <s v="Laura Clark"/>
    <x v="4"/>
    <x v="0"/>
    <s v="It works fine, but there are better options available."/>
    <x v="83"/>
    <x v="5"/>
    <x v="0"/>
  </r>
  <r>
    <x v="247"/>
    <s v="John Doe"/>
    <x v="6"/>
    <x v="0"/>
    <s v="The product broke within a few weeks, not durable."/>
    <x v="182"/>
    <x v="10"/>
    <x v="0"/>
  </r>
  <r>
    <x v="248"/>
    <s v="Mark Johnson"/>
    <x v="9"/>
    <x v="2"/>
    <s v="Great customer service, the product exceeded expectations."/>
    <x v="145"/>
    <x v="12"/>
    <x v="2"/>
  </r>
  <r>
    <x v="249"/>
    <s v="James Taylor"/>
    <x v="7"/>
    <x v="1"/>
    <s v="Perfect for my needs, exactly what I was looking for."/>
    <x v="129"/>
    <x v="3"/>
    <x v="1"/>
  </r>
  <r>
    <x v="250"/>
    <s v="James Taylor"/>
    <x v="4"/>
    <x v="4"/>
    <s v="The product broke within a few weeks, not durable."/>
    <x v="88"/>
    <x v="1"/>
    <x v="0"/>
  </r>
  <r>
    <x v="251"/>
    <s v="David Lee"/>
    <x v="6"/>
    <x v="1"/>
    <s v="Excellent product, really happy with the purchase!"/>
    <x v="183"/>
    <x v="5"/>
    <x v="1"/>
  </r>
  <r>
    <x v="252"/>
    <s v="Emily Davis"/>
    <x v="5"/>
    <x v="0"/>
    <s v="Good product, but the delivery was late."/>
    <x v="42"/>
    <x v="8"/>
    <x v="0"/>
  </r>
  <r>
    <x v="253"/>
    <s v="Sarah Wilson"/>
    <x v="7"/>
    <x v="0"/>
    <s v="It works fine, but there are better options available."/>
    <x v="119"/>
    <x v="9"/>
    <x v="0"/>
  </r>
  <r>
    <x v="254"/>
    <s v="Mark Johnson"/>
    <x v="5"/>
    <x v="1"/>
    <s v="It works fine, but there are better options available."/>
    <x v="184"/>
    <x v="0"/>
    <x v="1"/>
  </r>
  <r>
    <x v="255"/>
    <s v="Emily Davis"/>
    <x v="2"/>
    <x v="3"/>
    <s v="Great customer service, the product exceeded expectations."/>
    <x v="185"/>
    <x v="9"/>
    <x v="1"/>
  </r>
  <r>
    <x v="256"/>
    <s v="Emily Davis"/>
    <x v="6"/>
    <x v="4"/>
    <s v="The quality could be better, but it's decent for the price."/>
    <x v="14"/>
    <x v="4"/>
    <x v="0"/>
  </r>
  <r>
    <x v="257"/>
    <s v="Sophia Adams"/>
    <x v="8"/>
    <x v="4"/>
    <s v="Disappointed. The product arrived damaged."/>
    <x v="1"/>
    <x v="1"/>
    <x v="0"/>
  </r>
  <r>
    <x v="258"/>
    <s v="David Lee"/>
    <x v="6"/>
    <x v="0"/>
    <s v="Not satisfied with the product. Would not recommend."/>
    <x v="186"/>
    <x v="4"/>
    <x v="0"/>
  </r>
  <r>
    <x v="259"/>
    <s v="Michael Brown"/>
    <x v="1"/>
    <x v="3"/>
    <s v="It works fine, but there are better options available."/>
    <x v="24"/>
    <x v="5"/>
    <x v="1"/>
  </r>
  <r>
    <x v="260"/>
    <s v="Laura Clark"/>
    <x v="7"/>
    <x v="0"/>
    <s v="Excellent product, really happy with the purchase!"/>
    <x v="159"/>
    <x v="4"/>
    <x v="0"/>
  </r>
  <r>
    <x v="261"/>
    <s v="James Taylor"/>
    <x v="9"/>
    <x v="3"/>
    <s v="The product broke within a few weeks, not durable."/>
    <x v="187"/>
    <x v="10"/>
    <x v="1"/>
  </r>
  <r>
    <x v="262"/>
    <s v="John Doe"/>
    <x v="4"/>
    <x v="0"/>
    <s v="Not satisfied with the product. Would not recommend."/>
    <x v="151"/>
    <x v="1"/>
    <x v="0"/>
  </r>
  <r>
    <x v="263"/>
    <s v="David Lee"/>
    <x v="8"/>
    <x v="3"/>
    <s v="The product broke within a few weeks, not durable."/>
    <x v="188"/>
    <x v="4"/>
    <x v="1"/>
  </r>
  <r>
    <x v="264"/>
    <s v="Sophia Adams"/>
    <x v="9"/>
    <x v="4"/>
    <s v="Disappointed. The product arrived damaged."/>
    <x v="189"/>
    <x v="6"/>
    <x v="0"/>
  </r>
  <r>
    <x v="265"/>
    <s v="Michael Brown"/>
    <x v="6"/>
    <x v="3"/>
    <s v="Good product, but the delivery was late."/>
    <x v="190"/>
    <x v="9"/>
    <x v="1"/>
  </r>
  <r>
    <x v="266"/>
    <s v="Laura Clark"/>
    <x v="8"/>
    <x v="1"/>
    <s v="Excellent product, really happy with the purchase!"/>
    <x v="191"/>
    <x v="3"/>
    <x v="1"/>
  </r>
  <r>
    <x v="267"/>
    <s v="Mark Johnson"/>
    <x v="1"/>
    <x v="2"/>
    <s v="The product broke within a few weeks, not durable."/>
    <x v="112"/>
    <x v="2"/>
    <x v="2"/>
  </r>
  <r>
    <x v="268"/>
    <s v="Mark Johnson"/>
    <x v="9"/>
    <x v="2"/>
    <s v="It works fine, but there are better options available."/>
    <x v="192"/>
    <x v="8"/>
    <x v="2"/>
  </r>
  <r>
    <x v="269"/>
    <s v="Laura Clark"/>
    <x v="5"/>
    <x v="0"/>
    <s v="Great value for money, very reliable."/>
    <x v="193"/>
    <x v="2"/>
    <x v="0"/>
  </r>
  <r>
    <x v="270"/>
    <s v="Michael Brown"/>
    <x v="8"/>
    <x v="3"/>
    <s v="Great customer service, the product exceeded expectations."/>
    <x v="74"/>
    <x v="3"/>
    <x v="1"/>
  </r>
  <r>
    <x v="271"/>
    <s v="Mark Johnson"/>
    <x v="3"/>
    <x v="3"/>
    <s v="Excellent product, really happy with the purchase!"/>
    <x v="59"/>
    <x v="7"/>
    <x v="1"/>
  </r>
  <r>
    <x v="272"/>
    <s v="Emily Davis"/>
    <x v="4"/>
    <x v="1"/>
    <s v="The quality could be better, but it's decent for the price."/>
    <x v="41"/>
    <x v="2"/>
    <x v="1"/>
  </r>
  <r>
    <x v="273"/>
    <s v="James Taylor"/>
    <x v="4"/>
    <x v="2"/>
    <s v="It works fine, but there are better options available."/>
    <x v="194"/>
    <x v="0"/>
    <x v="2"/>
  </r>
  <r>
    <x v="274"/>
    <s v="Sarah Wilson"/>
    <x v="5"/>
    <x v="4"/>
    <s v="Disappointed. The product arrived damaged."/>
    <x v="164"/>
    <x v="0"/>
    <x v="0"/>
  </r>
  <r>
    <x v="275"/>
    <s v="Michael Brown"/>
    <x v="9"/>
    <x v="2"/>
    <s v="The product broke within a few weeks, not durable."/>
    <x v="195"/>
    <x v="4"/>
    <x v="2"/>
  </r>
  <r>
    <x v="276"/>
    <s v="David Lee"/>
    <x v="2"/>
    <x v="1"/>
    <s v="The product broke within a few weeks, not durable."/>
    <x v="196"/>
    <x v="1"/>
    <x v="1"/>
  </r>
  <r>
    <x v="277"/>
    <s v="Michael Brown"/>
    <x v="2"/>
    <x v="1"/>
    <s v="It works fine, but there are better options available."/>
    <x v="197"/>
    <x v="6"/>
    <x v="1"/>
  </r>
  <r>
    <x v="278"/>
    <s v="Michael Brown"/>
    <x v="5"/>
    <x v="2"/>
    <s v="The product broke within a few weeks, not durable."/>
    <x v="127"/>
    <x v="5"/>
    <x v="2"/>
  </r>
  <r>
    <x v="279"/>
    <s v="Sarah Wilson"/>
    <x v="7"/>
    <x v="3"/>
    <s v="It works fine, but there are better options available."/>
    <x v="198"/>
    <x v="8"/>
    <x v="1"/>
  </r>
  <r>
    <x v="280"/>
    <s v="Emily Davis"/>
    <x v="9"/>
    <x v="2"/>
    <s v="The quality could be better, but it's decent for the price."/>
    <x v="17"/>
    <x v="9"/>
    <x v="2"/>
  </r>
  <r>
    <x v="230"/>
    <s v="Laura Clark"/>
    <x v="4"/>
    <x v="2"/>
    <s v="The quality could be better, but it's decent for the price."/>
    <x v="199"/>
    <x v="8"/>
    <x v="2"/>
  </r>
  <r>
    <x v="281"/>
    <s v="Laura Clark"/>
    <x v="5"/>
    <x v="3"/>
    <s v="It works fine, but there are better options available."/>
    <x v="35"/>
    <x v="7"/>
    <x v="1"/>
  </r>
  <r>
    <x v="282"/>
    <s v="David Lee"/>
    <x v="4"/>
    <x v="0"/>
    <s v="Good product, but the delivery was late."/>
    <x v="0"/>
    <x v="0"/>
    <x v="0"/>
  </r>
  <r>
    <x v="283"/>
    <s v="David Lee"/>
    <x v="6"/>
    <x v="2"/>
    <s v="The product broke within a few weeks, not durable."/>
    <x v="117"/>
    <x v="5"/>
    <x v="2"/>
  </r>
  <r>
    <x v="284"/>
    <s v="Jane Smith"/>
    <x v="0"/>
    <x v="3"/>
    <s v="The product broke within a few weeks, not durable."/>
    <x v="200"/>
    <x v="12"/>
    <x v="1"/>
  </r>
  <r>
    <x v="285"/>
    <s v="Mark Johnson"/>
    <x v="7"/>
    <x v="4"/>
    <s v="Good product, but the delivery was late."/>
    <x v="67"/>
    <x v="11"/>
    <x v="0"/>
  </r>
  <r>
    <x v="286"/>
    <s v="Laura Clark"/>
    <x v="8"/>
    <x v="1"/>
    <s v="It works fine, but there are better options available."/>
    <x v="16"/>
    <x v="7"/>
    <x v="1"/>
  </r>
  <r>
    <x v="287"/>
    <s v="Laura Clark"/>
    <x v="4"/>
    <x v="2"/>
    <s v="Perfect for my needs, exactly what I was looking for."/>
    <x v="201"/>
    <x v="12"/>
    <x v="2"/>
  </r>
  <r>
    <x v="288"/>
    <s v="Sarah Wilson"/>
    <x v="7"/>
    <x v="4"/>
    <s v="The quality could be better, but it's decent for the price."/>
    <x v="99"/>
    <x v="5"/>
    <x v="0"/>
  </r>
  <r>
    <x v="289"/>
    <s v="John Doe"/>
    <x v="3"/>
    <x v="0"/>
    <s v="Good product, but the delivery was late."/>
    <x v="202"/>
    <x v="5"/>
    <x v="0"/>
  </r>
  <r>
    <x v="290"/>
    <s v="Sophia Adams"/>
    <x v="8"/>
    <x v="3"/>
    <s v="It works fine, but there are better options available."/>
    <x v="203"/>
    <x v="11"/>
    <x v="1"/>
  </r>
  <r>
    <x v="291"/>
    <s v="Emily Davis"/>
    <x v="0"/>
    <x v="4"/>
    <s v="The product broke within a few weeks, not durable."/>
    <x v="204"/>
    <x v="11"/>
    <x v="0"/>
  </r>
  <r>
    <x v="292"/>
    <s v="Michael Brown"/>
    <x v="3"/>
    <x v="4"/>
    <s v="Great customer service, the product exceeded expectations."/>
    <x v="205"/>
    <x v="8"/>
    <x v="0"/>
  </r>
  <r>
    <x v="293"/>
    <s v="Jane Smith"/>
    <x v="7"/>
    <x v="4"/>
    <s v="Great value for money, very reliable."/>
    <x v="206"/>
    <x v="6"/>
    <x v="0"/>
  </r>
  <r>
    <x v="294"/>
    <s v="Emily Davis"/>
    <x v="4"/>
    <x v="3"/>
    <s v="Disappointed. The product arrived damaged."/>
    <x v="90"/>
    <x v="11"/>
    <x v="1"/>
  </r>
  <r>
    <x v="295"/>
    <s v="Emily Davis"/>
    <x v="3"/>
    <x v="1"/>
    <s v="The product broke within a few weeks, not durable."/>
    <x v="207"/>
    <x v="4"/>
    <x v="1"/>
  </r>
  <r>
    <x v="296"/>
    <s v="John Doe"/>
    <x v="3"/>
    <x v="4"/>
    <s v="Great value for money, very reliable."/>
    <x v="130"/>
    <x v="3"/>
    <x v="0"/>
  </r>
  <r>
    <x v="297"/>
    <s v="Michael Brown"/>
    <x v="7"/>
    <x v="4"/>
    <s v="Great customer service, the product exceeded expectations."/>
    <x v="1"/>
    <x v="1"/>
    <x v="0"/>
  </r>
  <r>
    <x v="298"/>
    <s v="Michael Brown"/>
    <x v="7"/>
    <x v="3"/>
    <s v="Good product, but the delivery was late."/>
    <x v="43"/>
    <x v="1"/>
    <x v="1"/>
  </r>
  <r>
    <x v="299"/>
    <s v="Jane Smith"/>
    <x v="6"/>
    <x v="4"/>
    <s v="Not satisfied with the product. Would not recommend."/>
    <x v="175"/>
    <x v="8"/>
    <x v="0"/>
  </r>
  <r>
    <x v="300"/>
    <s v="Sarah Wilson"/>
    <x v="5"/>
    <x v="2"/>
    <s v="The product broke within a few weeks, not durable."/>
    <x v="111"/>
    <x v="9"/>
    <x v="2"/>
  </r>
  <r>
    <x v="301"/>
    <s v="Michael Brown"/>
    <x v="3"/>
    <x v="0"/>
    <s v="Good product, but the delivery was late."/>
    <x v="135"/>
    <x v="1"/>
    <x v="0"/>
  </r>
  <r>
    <x v="302"/>
    <s v="Emily Davis"/>
    <x v="9"/>
    <x v="1"/>
    <s v="Not satisfied with the product. Would not recommend."/>
    <x v="208"/>
    <x v="6"/>
    <x v="1"/>
  </r>
  <r>
    <x v="303"/>
    <s v="Michael Brown"/>
    <x v="4"/>
    <x v="1"/>
    <s v="Great value for money, very reliable."/>
    <x v="109"/>
    <x v="7"/>
    <x v="1"/>
  </r>
  <r>
    <x v="304"/>
    <s v="Sarah Wilson"/>
    <x v="8"/>
    <x v="0"/>
    <s v="The quality could be better, but it's decent for the price."/>
    <x v="101"/>
    <x v="2"/>
    <x v="0"/>
  </r>
  <r>
    <x v="305"/>
    <s v="James Taylor"/>
    <x v="3"/>
    <x v="3"/>
    <s v="Excellent product, really happy with the purchase!"/>
    <x v="209"/>
    <x v="9"/>
    <x v="1"/>
  </r>
  <r>
    <x v="306"/>
    <s v="Sarah Wilson"/>
    <x v="3"/>
    <x v="2"/>
    <s v="Disappointed. The product arrived damaged."/>
    <x v="141"/>
    <x v="8"/>
    <x v="2"/>
  </r>
  <r>
    <x v="252"/>
    <s v="Sarah Wilson"/>
    <x v="2"/>
    <x v="2"/>
    <s v="The quality could be better, but it's decent for the price."/>
    <x v="156"/>
    <x v="6"/>
    <x v="2"/>
  </r>
  <r>
    <x v="307"/>
    <s v="Sarah Wilson"/>
    <x v="7"/>
    <x v="3"/>
    <s v="It works fine, but there are better options available."/>
    <x v="210"/>
    <x v="7"/>
    <x v="1"/>
  </r>
  <r>
    <x v="308"/>
    <s v="Michael Brown"/>
    <x v="2"/>
    <x v="2"/>
    <s v="Perfect for my needs, exactly what I was looking for."/>
    <x v="113"/>
    <x v="1"/>
    <x v="2"/>
  </r>
  <r>
    <x v="309"/>
    <s v="Laura Clark"/>
    <x v="4"/>
    <x v="0"/>
    <s v="Not satisfied with the product. Would not recommend."/>
    <x v="40"/>
    <x v="6"/>
    <x v="0"/>
  </r>
  <r>
    <x v="310"/>
    <s v="Michael Brown"/>
    <x v="7"/>
    <x v="2"/>
    <s v="Perfect for my needs, exactly what I was looking for."/>
    <x v="211"/>
    <x v="0"/>
    <x v="2"/>
  </r>
  <r>
    <x v="311"/>
    <s v="David Lee"/>
    <x v="7"/>
    <x v="4"/>
    <s v="Good product, but the delivery was late."/>
    <x v="212"/>
    <x v="7"/>
    <x v="0"/>
  </r>
  <r>
    <x v="312"/>
    <s v="Michael Brown"/>
    <x v="0"/>
    <x v="3"/>
    <s v="The product broke within a few weeks, not durable."/>
    <x v="213"/>
    <x v="12"/>
    <x v="1"/>
  </r>
  <r>
    <x v="313"/>
    <s v="Sophia Adams"/>
    <x v="2"/>
    <x v="1"/>
    <s v="Great customer service, the product exceeded expectations."/>
    <x v="214"/>
    <x v="3"/>
    <x v="1"/>
  </r>
  <r>
    <x v="314"/>
    <s v="Laura Clark"/>
    <x v="7"/>
    <x v="3"/>
    <s v="Great value for money, very reliable."/>
    <x v="215"/>
    <x v="0"/>
    <x v="1"/>
  </r>
  <r>
    <x v="315"/>
    <s v="Sarah Wilson"/>
    <x v="6"/>
    <x v="4"/>
    <s v="It works fine, but there are better options available."/>
    <x v="120"/>
    <x v="12"/>
    <x v="0"/>
  </r>
  <r>
    <x v="316"/>
    <s v="Michael Brown"/>
    <x v="2"/>
    <x v="3"/>
    <s v="Great customer service, the product exceeded expectations."/>
    <x v="54"/>
    <x v="4"/>
    <x v="1"/>
  </r>
  <r>
    <x v="317"/>
    <s v="Sarah Wilson"/>
    <x v="9"/>
    <x v="4"/>
    <s v="Great value for money, very reliable."/>
    <x v="204"/>
    <x v="11"/>
    <x v="0"/>
  </r>
  <r>
    <x v="318"/>
    <s v="Mark Johnson"/>
    <x v="0"/>
    <x v="3"/>
    <s v="Excellent product, really happy with the purchase!"/>
    <x v="216"/>
    <x v="8"/>
    <x v="1"/>
  </r>
  <r>
    <x v="319"/>
    <s v="Mark Johnson"/>
    <x v="4"/>
    <x v="4"/>
    <s v="Great customer service, the product exceeded expectations."/>
    <x v="125"/>
    <x v="3"/>
    <x v="0"/>
  </r>
  <r>
    <x v="320"/>
    <s v="Jane Smith"/>
    <x v="1"/>
    <x v="2"/>
    <s v="It works fine, but there are better options available."/>
    <x v="217"/>
    <x v="6"/>
    <x v="2"/>
  </r>
  <r>
    <x v="321"/>
    <s v="James Taylor"/>
    <x v="3"/>
    <x v="0"/>
    <s v="The quality could be better, but it's decent for the price."/>
    <x v="218"/>
    <x v="8"/>
    <x v="0"/>
  </r>
  <r>
    <x v="322"/>
    <s v="Jane Smith"/>
    <x v="8"/>
    <x v="2"/>
    <s v="The product broke within a few weeks, not durable."/>
    <x v="219"/>
    <x v="8"/>
    <x v="2"/>
  </r>
  <r>
    <x v="323"/>
    <s v="John Doe"/>
    <x v="3"/>
    <x v="1"/>
    <s v="The quality could be better, but it's decent for the price."/>
    <x v="214"/>
    <x v="3"/>
    <x v="1"/>
  </r>
  <r>
    <x v="324"/>
    <s v="Jane Smith"/>
    <x v="5"/>
    <x v="2"/>
    <s v="Not satisfied with the product. Would not recommend."/>
    <x v="210"/>
    <x v="7"/>
    <x v="2"/>
  </r>
  <r>
    <x v="325"/>
    <s v="David Lee"/>
    <x v="3"/>
    <x v="0"/>
    <s v="Good product, but the delivery was late."/>
    <x v="140"/>
    <x v="7"/>
    <x v="0"/>
  </r>
  <r>
    <x v="326"/>
    <s v="Emily Davis"/>
    <x v="7"/>
    <x v="2"/>
    <s v="Excellent product, really happy with the purchase!"/>
    <x v="30"/>
    <x v="9"/>
    <x v="2"/>
  </r>
  <r>
    <x v="327"/>
    <s v="Sophia Adams"/>
    <x v="5"/>
    <x v="4"/>
    <s v="Perfect for my needs, exactly what I was looking for."/>
    <x v="220"/>
    <x v="9"/>
    <x v="0"/>
  </r>
  <r>
    <x v="328"/>
    <s v="Mark Johnson"/>
    <x v="3"/>
    <x v="3"/>
    <s v="Perfect for my needs, exactly what I was looking for."/>
    <x v="158"/>
    <x v="3"/>
    <x v="1"/>
  </r>
  <r>
    <x v="329"/>
    <s v="Laura Clark"/>
    <x v="0"/>
    <x v="0"/>
    <s v="Disappointed. The product arrived damaged."/>
    <x v="221"/>
    <x v="4"/>
    <x v="0"/>
  </r>
  <r>
    <x v="330"/>
    <s v="Laura Clark"/>
    <x v="8"/>
    <x v="0"/>
    <s v="The quality could be better, but it's decent for the price."/>
    <x v="222"/>
    <x v="8"/>
    <x v="0"/>
  </r>
  <r>
    <x v="331"/>
    <s v="Emily Davis"/>
    <x v="6"/>
    <x v="0"/>
    <s v="Excellent product, really happy with the purchase!"/>
    <x v="92"/>
    <x v="6"/>
    <x v="0"/>
  </r>
  <r>
    <x v="332"/>
    <s v="Emily Davis"/>
    <x v="4"/>
    <x v="0"/>
    <s v="It works fine, but there are better options available."/>
    <x v="95"/>
    <x v="12"/>
    <x v="0"/>
  </r>
  <r>
    <x v="333"/>
    <s v="Michael Brown"/>
    <x v="3"/>
    <x v="1"/>
    <s v="Perfect for my needs, exactly what I was looking for."/>
    <x v="103"/>
    <x v="8"/>
    <x v="1"/>
  </r>
  <r>
    <x v="334"/>
    <s v="Sarah Wilson"/>
    <x v="8"/>
    <x v="0"/>
    <s v="It works fine, but there are better options available."/>
    <x v="48"/>
    <x v="7"/>
    <x v="0"/>
  </r>
  <r>
    <x v="335"/>
    <s v="Sophia Adams"/>
    <x v="3"/>
    <x v="2"/>
    <s v="Excellent product, really happy with the purchase!"/>
    <x v="32"/>
    <x v="12"/>
    <x v="2"/>
  </r>
  <r>
    <x v="336"/>
    <s v="Michael Brown"/>
    <x v="0"/>
    <x v="3"/>
    <s v="Not satisfied with the product. Would not recommend."/>
    <x v="208"/>
    <x v="6"/>
    <x v="1"/>
  </r>
  <r>
    <x v="337"/>
    <s v="Sarah Wilson"/>
    <x v="4"/>
    <x v="2"/>
    <s v="Not satisfied with the product. Would not recommend."/>
    <x v="22"/>
    <x v="4"/>
    <x v="2"/>
  </r>
  <r>
    <x v="338"/>
    <s v="Jane Smith"/>
    <x v="7"/>
    <x v="4"/>
    <s v="Not satisfied with the product. Would not recommend."/>
    <x v="195"/>
    <x v="4"/>
    <x v="0"/>
  </r>
  <r>
    <x v="339"/>
    <s v="David Lee"/>
    <x v="8"/>
    <x v="0"/>
    <s v="Disappointed. The product arrived damaged."/>
    <x v="26"/>
    <x v="10"/>
    <x v="0"/>
  </r>
  <r>
    <x v="340"/>
    <s v="John Doe"/>
    <x v="4"/>
    <x v="0"/>
    <s v="Excellent product, really happy with the purchase!"/>
    <x v="70"/>
    <x v="3"/>
    <x v="0"/>
  </r>
  <r>
    <x v="341"/>
    <s v="David Lee"/>
    <x v="2"/>
    <x v="3"/>
    <s v="Great value for money, very reliable."/>
    <x v="57"/>
    <x v="6"/>
    <x v="1"/>
  </r>
  <r>
    <x v="342"/>
    <s v="Jane Smith"/>
    <x v="9"/>
    <x v="2"/>
    <s v="Excellent product, really happy with the purchase!"/>
    <x v="21"/>
    <x v="3"/>
    <x v="2"/>
  </r>
  <r>
    <x v="343"/>
    <s v="Sarah Wilson"/>
    <x v="4"/>
    <x v="0"/>
    <s v="It works fine, but there are better options available."/>
    <x v="18"/>
    <x v="10"/>
    <x v="0"/>
  </r>
  <r>
    <x v="344"/>
    <s v="James Taylor"/>
    <x v="0"/>
    <x v="0"/>
    <s v="Disappointed. The product arrived damaged."/>
    <x v="5"/>
    <x v="4"/>
    <x v="0"/>
  </r>
  <r>
    <x v="345"/>
    <s v="Mark Johnson"/>
    <x v="7"/>
    <x v="0"/>
    <s v="The quality could be better, but it's decent for the price."/>
    <x v="24"/>
    <x v="5"/>
    <x v="0"/>
  </r>
  <r>
    <x v="346"/>
    <s v="Sarah Wilson"/>
    <x v="9"/>
    <x v="4"/>
    <s v="It works fine, but there are better options available."/>
    <x v="90"/>
    <x v="11"/>
    <x v="0"/>
  </r>
  <r>
    <x v="347"/>
    <s v="Laura Clark"/>
    <x v="9"/>
    <x v="4"/>
    <s v="Great value for money, very reliable."/>
    <x v="223"/>
    <x v="5"/>
    <x v="0"/>
  </r>
  <r>
    <x v="348"/>
    <s v="Mark Johnson"/>
    <x v="9"/>
    <x v="0"/>
    <s v="Disappointed. The product arrived damaged."/>
    <x v="224"/>
    <x v="12"/>
    <x v="0"/>
  </r>
  <r>
    <x v="349"/>
    <s v="Sophia Adams"/>
    <x v="3"/>
    <x v="4"/>
    <s v="The quality could be better, but it's decent for the price."/>
    <x v="225"/>
    <x v="2"/>
    <x v="0"/>
  </r>
  <r>
    <x v="350"/>
    <s v="Sarah Wilson"/>
    <x v="8"/>
    <x v="4"/>
    <s v="Disappointed. The product arrived damaged."/>
    <x v="212"/>
    <x v="7"/>
    <x v="0"/>
  </r>
  <r>
    <x v="351"/>
    <s v="Emily Davis"/>
    <x v="1"/>
    <x v="1"/>
    <s v="Good product, but the delivery was late."/>
    <x v="164"/>
    <x v="0"/>
    <x v="1"/>
  </r>
  <r>
    <x v="352"/>
    <s v="John Doe"/>
    <x v="5"/>
    <x v="0"/>
    <s v="Good product, but the delivery was late."/>
    <x v="226"/>
    <x v="8"/>
    <x v="0"/>
  </r>
  <r>
    <x v="353"/>
    <s v="Sarah Wilson"/>
    <x v="6"/>
    <x v="3"/>
    <s v="The product broke within a few weeks, not durable."/>
    <x v="77"/>
    <x v="11"/>
    <x v="1"/>
  </r>
  <r>
    <x v="354"/>
    <s v="Mark Johnson"/>
    <x v="9"/>
    <x v="3"/>
    <s v="Perfect for my needs, exactly what I was looking for."/>
    <x v="175"/>
    <x v="8"/>
    <x v="1"/>
  </r>
  <r>
    <x v="355"/>
    <s v="Sophia Adams"/>
    <x v="8"/>
    <x v="2"/>
    <s v="Not satisfied with the product. Would not recommend."/>
    <x v="227"/>
    <x v="6"/>
    <x v="2"/>
  </r>
  <r>
    <x v="356"/>
    <s v="Jane Smith"/>
    <x v="0"/>
    <x v="3"/>
    <s v="Great customer service, the product exceeded expectations."/>
    <x v="187"/>
    <x v="10"/>
    <x v="1"/>
  </r>
  <r>
    <x v="357"/>
    <s v="Emily Davis"/>
    <x v="9"/>
    <x v="1"/>
    <s v="Great customer service, the product exceeded expectations."/>
    <x v="47"/>
    <x v="4"/>
    <x v="1"/>
  </r>
  <r>
    <x v="258"/>
    <s v="Jane Smith"/>
    <x v="0"/>
    <x v="3"/>
    <s v="The quality could be better, but it's decent for the price."/>
    <x v="56"/>
    <x v="6"/>
    <x v="1"/>
  </r>
  <r>
    <x v="358"/>
    <s v="John Doe"/>
    <x v="4"/>
    <x v="1"/>
    <s v="The product broke within a few weeks, not durable."/>
    <x v="87"/>
    <x v="4"/>
    <x v="1"/>
  </r>
  <r>
    <x v="359"/>
    <s v="Mark Johnson"/>
    <x v="7"/>
    <x v="3"/>
    <s v="Excellent product, really happy with the purchase!"/>
    <x v="228"/>
    <x v="10"/>
    <x v="1"/>
  </r>
  <r>
    <x v="360"/>
    <s v="Sophia Adams"/>
    <x v="6"/>
    <x v="1"/>
    <s v="Perfect for my needs, exactly what I was looking for."/>
    <x v="229"/>
    <x v="0"/>
    <x v="1"/>
  </r>
  <r>
    <x v="361"/>
    <s v="James Taylor"/>
    <x v="5"/>
    <x v="0"/>
    <s v="It works fine, but there are better options available."/>
    <x v="33"/>
    <x v="9"/>
    <x v="0"/>
  </r>
  <r>
    <x v="362"/>
    <s v="Mark Johnson"/>
    <x v="7"/>
    <x v="3"/>
    <s v="The quality could be better, but it's decent for the price."/>
    <x v="230"/>
    <x v="2"/>
    <x v="1"/>
  </r>
  <r>
    <x v="363"/>
    <s v="Michael Brown"/>
    <x v="9"/>
    <x v="4"/>
    <s v="The product broke within a few weeks, not durable."/>
    <x v="231"/>
    <x v="2"/>
    <x v="0"/>
  </r>
  <r>
    <x v="364"/>
    <s v="David Lee"/>
    <x v="4"/>
    <x v="1"/>
    <s v="Good product, but the delivery was late."/>
    <x v="230"/>
    <x v="2"/>
    <x v="1"/>
  </r>
  <r>
    <x v="365"/>
    <s v="David Lee"/>
    <x v="9"/>
    <x v="3"/>
    <s v="Not satisfied with the product. Would not recommend."/>
    <x v="232"/>
    <x v="4"/>
    <x v="1"/>
  </r>
  <r>
    <x v="265"/>
    <s v="Mark Johnson"/>
    <x v="9"/>
    <x v="4"/>
    <s v="The product broke within a few weeks, not durable."/>
    <x v="183"/>
    <x v="5"/>
    <x v="0"/>
  </r>
  <r>
    <x v="366"/>
    <s v="James Taylor"/>
    <x v="7"/>
    <x v="1"/>
    <s v="Not satisfied with the product. Would not recommend."/>
    <x v="233"/>
    <x v="3"/>
    <x v="1"/>
  </r>
  <r>
    <x v="367"/>
    <s v="Emily Davis"/>
    <x v="3"/>
    <x v="2"/>
    <s v="Great customer service, the product exceeded expectations."/>
    <x v="124"/>
    <x v="2"/>
    <x v="2"/>
  </r>
  <r>
    <x v="368"/>
    <s v="Michael Brown"/>
    <x v="7"/>
    <x v="2"/>
    <s v="The product broke within a few weeks, not durable."/>
    <x v="234"/>
    <x v="12"/>
    <x v="2"/>
  </r>
  <r>
    <x v="369"/>
    <s v="David Lee"/>
    <x v="7"/>
    <x v="0"/>
    <s v="The quality could be better, but it's decent for the price."/>
    <x v="235"/>
    <x v="12"/>
    <x v="0"/>
  </r>
  <r>
    <x v="370"/>
    <s v="Michael Brown"/>
    <x v="3"/>
    <x v="1"/>
    <s v="Not satisfied with the product. Would not recommend."/>
    <x v="154"/>
    <x v="8"/>
    <x v="1"/>
  </r>
  <r>
    <x v="371"/>
    <s v="John Doe"/>
    <x v="5"/>
    <x v="2"/>
    <s v="It works fine, but there are better options available."/>
    <x v="143"/>
    <x v="12"/>
    <x v="2"/>
  </r>
  <r>
    <x v="372"/>
    <s v="Laura Clark"/>
    <x v="1"/>
    <x v="2"/>
    <s v="Great customer service, the product exceeded expectations."/>
    <x v="231"/>
    <x v="2"/>
    <x v="2"/>
  </r>
  <r>
    <x v="373"/>
    <s v="Jane Smith"/>
    <x v="1"/>
    <x v="3"/>
    <s v="The product broke within a few weeks, not durable."/>
    <x v="236"/>
    <x v="4"/>
    <x v="1"/>
  </r>
  <r>
    <x v="297"/>
    <s v="Sophia Adams"/>
    <x v="8"/>
    <x v="3"/>
    <s v="The product broke within a few weeks, not durable."/>
    <x v="237"/>
    <x v="1"/>
    <x v="1"/>
  </r>
  <r>
    <x v="374"/>
    <s v="Sophia Adams"/>
    <x v="5"/>
    <x v="1"/>
    <s v="Great customer service, the product exceeded expectations."/>
    <x v="238"/>
    <x v="12"/>
    <x v="1"/>
  </r>
  <r>
    <x v="248"/>
    <s v="Michael Brown"/>
    <x v="8"/>
    <x v="1"/>
    <s v="Good product, but the delivery was late."/>
    <x v="110"/>
    <x v="2"/>
    <x v="1"/>
  </r>
  <r>
    <x v="375"/>
    <s v="Michael Brown"/>
    <x v="7"/>
    <x v="3"/>
    <s v="Great value for money, very reliable."/>
    <x v="229"/>
    <x v="0"/>
    <x v="1"/>
  </r>
  <r>
    <x v="376"/>
    <s v="Mark Johnson"/>
    <x v="2"/>
    <x v="1"/>
    <s v="Perfect for my needs, exactly what I was looking for."/>
    <x v="179"/>
    <x v="12"/>
    <x v="1"/>
  </r>
  <r>
    <x v="377"/>
    <s v="Emily Davis"/>
    <x v="0"/>
    <x v="1"/>
    <s v="Excellent product, really happy with the purchase!"/>
    <x v="209"/>
    <x v="9"/>
    <x v="1"/>
  </r>
  <r>
    <x v="378"/>
    <s v="Emily Davis"/>
    <x v="0"/>
    <x v="4"/>
    <s v="Perfect for my needs, exactly what I was looking for."/>
    <x v="48"/>
    <x v="7"/>
    <x v="0"/>
  </r>
  <r>
    <x v="379"/>
    <s v="Emily Davis"/>
    <x v="0"/>
    <x v="0"/>
    <s v="The quality could be better, but it's decent for the price."/>
    <x v="239"/>
    <x v="11"/>
    <x v="0"/>
  </r>
  <r>
    <x v="380"/>
    <s v="Jane Smith"/>
    <x v="6"/>
    <x v="0"/>
    <s v="It works fine, but there are better options available."/>
    <x v="240"/>
    <x v="4"/>
    <x v="0"/>
  </r>
  <r>
    <x v="381"/>
    <s v="Jane Smith"/>
    <x v="2"/>
    <x v="2"/>
    <s v="It works fine, but there are better options available."/>
    <x v="95"/>
    <x v="12"/>
    <x v="2"/>
  </r>
  <r>
    <x v="382"/>
    <s v="Emily Davis"/>
    <x v="4"/>
    <x v="0"/>
    <s v="The quality could be better, but it's decent for the price."/>
    <x v="144"/>
    <x v="6"/>
    <x v="0"/>
  </r>
  <r>
    <x v="383"/>
    <s v="Mark Johnson"/>
    <x v="1"/>
    <x v="4"/>
    <s v="Great customer service, the product exceeded expectations."/>
    <x v="241"/>
    <x v="8"/>
    <x v="0"/>
  </r>
  <r>
    <x v="384"/>
    <s v="David Lee"/>
    <x v="3"/>
    <x v="0"/>
    <s v="The product broke within a few weeks, not durable."/>
    <x v="242"/>
    <x v="2"/>
    <x v="0"/>
  </r>
  <r>
    <x v="385"/>
    <s v="Emily Davis"/>
    <x v="7"/>
    <x v="0"/>
    <s v="Good product, but the delivery was late."/>
    <x v="82"/>
    <x v="4"/>
    <x v="0"/>
  </r>
  <r>
    <x v="386"/>
    <s v="James Taylor"/>
    <x v="7"/>
    <x v="1"/>
    <s v="Great customer service, the product exceeded expectations."/>
    <x v="78"/>
    <x v="1"/>
    <x v="1"/>
  </r>
  <r>
    <x v="387"/>
    <s v="Jane Smith"/>
    <x v="7"/>
    <x v="4"/>
    <s v="It works fine, but there are better options available."/>
    <x v="243"/>
    <x v="6"/>
    <x v="0"/>
  </r>
  <r>
    <x v="388"/>
    <s v="James Taylor"/>
    <x v="0"/>
    <x v="2"/>
    <s v="The product broke within a few weeks, not durable."/>
    <x v="244"/>
    <x v="4"/>
    <x v="2"/>
  </r>
  <r>
    <x v="389"/>
    <s v="Michael Brown"/>
    <x v="2"/>
    <x v="2"/>
    <s v="Excellent product, really happy with the purchase!"/>
    <x v="137"/>
    <x v="9"/>
    <x v="2"/>
  </r>
  <r>
    <x v="107"/>
    <s v="Sophia Adams"/>
    <x v="8"/>
    <x v="0"/>
    <s v="Great customer service, the product exceeded expectations."/>
    <x v="61"/>
    <x v="3"/>
    <x v="0"/>
  </r>
  <r>
    <x v="19"/>
    <s v="Sarah Wilson"/>
    <x v="9"/>
    <x v="1"/>
    <s v="Good product, but the delivery was late."/>
    <x v="245"/>
    <x v="8"/>
    <x v="1"/>
  </r>
  <r>
    <x v="390"/>
    <s v="John Doe"/>
    <x v="0"/>
    <x v="0"/>
    <s v="The quality could be better, but it's decent for the price."/>
    <x v="246"/>
    <x v="9"/>
    <x v="0"/>
  </r>
  <r>
    <x v="382"/>
    <s v="Michael Brown"/>
    <x v="8"/>
    <x v="4"/>
    <s v="The product broke within a few weeks, not durable."/>
    <x v="247"/>
    <x v="7"/>
    <x v="0"/>
  </r>
  <r>
    <x v="391"/>
    <s v="James Taylor"/>
    <x v="7"/>
    <x v="2"/>
    <s v="It works fine, but there are better options available."/>
    <x v="248"/>
    <x v="6"/>
    <x v="2"/>
  </r>
  <r>
    <x v="392"/>
    <s v="Laura Clark"/>
    <x v="5"/>
    <x v="0"/>
    <s v="Not satisfied with the product. Would not recommend."/>
    <x v="86"/>
    <x v="6"/>
    <x v="0"/>
  </r>
  <r>
    <x v="393"/>
    <s v="Jane Smith"/>
    <x v="2"/>
    <x v="2"/>
    <s v="The quality could be better, but it's decent for the price."/>
    <x v="104"/>
    <x v="2"/>
    <x v="2"/>
  </r>
  <r>
    <x v="394"/>
    <s v="Jane Smith"/>
    <x v="4"/>
    <x v="4"/>
    <s v="Disappointed. The product arrived damaged."/>
    <x v="85"/>
    <x v="0"/>
    <x v="0"/>
  </r>
  <r>
    <x v="395"/>
    <s v="Emily Davis"/>
    <x v="9"/>
    <x v="2"/>
    <s v="Good product, but the delivery was late."/>
    <x v="149"/>
    <x v="0"/>
    <x v="2"/>
  </r>
  <r>
    <x v="396"/>
    <s v="James Taylor"/>
    <x v="5"/>
    <x v="4"/>
    <s v="Not satisfied with the product. Would not recommend."/>
    <x v="197"/>
    <x v="6"/>
    <x v="0"/>
  </r>
  <r>
    <x v="397"/>
    <s v="Emily Davis"/>
    <x v="6"/>
    <x v="3"/>
    <s v="Perfect for my needs, exactly what I was looking for."/>
    <x v="249"/>
    <x v="3"/>
    <x v="1"/>
  </r>
  <r>
    <x v="398"/>
    <s v="Sophia Adams"/>
    <x v="7"/>
    <x v="0"/>
    <s v="The product broke within a few weeks, not durable."/>
    <x v="131"/>
    <x v="1"/>
    <x v="0"/>
  </r>
  <r>
    <x v="399"/>
    <s v="Mark Johnson"/>
    <x v="2"/>
    <x v="0"/>
    <s v="Not satisfied with the product. Would not recommend."/>
    <x v="209"/>
    <x v="9"/>
    <x v="0"/>
  </r>
  <r>
    <x v="400"/>
    <s v="Michael Brown"/>
    <x v="5"/>
    <x v="3"/>
    <s v="Great customer service, the product exceeded expectations."/>
    <x v="67"/>
    <x v="11"/>
    <x v="1"/>
  </r>
  <r>
    <x v="401"/>
    <s v="David Lee"/>
    <x v="6"/>
    <x v="0"/>
    <s v="Perfect for my needs, exactly what I was looking for."/>
    <x v="6"/>
    <x v="5"/>
    <x v="0"/>
  </r>
  <r>
    <x v="283"/>
    <s v="Sophia Adams"/>
    <x v="6"/>
    <x v="3"/>
    <s v="The product broke within a few weeks, not durable."/>
    <x v="250"/>
    <x v="11"/>
    <x v="1"/>
  </r>
  <r>
    <x v="402"/>
    <s v="Mark Johnson"/>
    <x v="2"/>
    <x v="4"/>
    <s v="Great customer service, the product exceeded expectations."/>
    <x v="32"/>
    <x v="12"/>
    <x v="0"/>
  </r>
  <r>
    <x v="403"/>
    <s v="Mark Johnson"/>
    <x v="1"/>
    <x v="2"/>
    <s v="The product broke within a few weeks, not durable."/>
    <x v="41"/>
    <x v="2"/>
    <x v="2"/>
  </r>
  <r>
    <x v="404"/>
    <s v="Jane Smith"/>
    <x v="1"/>
    <x v="1"/>
    <s v="Good product, but the delivery was late."/>
    <x v="102"/>
    <x v="8"/>
    <x v="1"/>
  </r>
  <r>
    <x v="405"/>
    <s v="Mark Johnson"/>
    <x v="8"/>
    <x v="0"/>
    <s v="Perfect for my needs, exactly what I was looking for."/>
    <x v="243"/>
    <x v="6"/>
    <x v="0"/>
  </r>
  <r>
    <x v="406"/>
    <s v="Mark Johnson"/>
    <x v="3"/>
    <x v="4"/>
    <s v="It works fine, but there are better options available."/>
    <x v="174"/>
    <x v="9"/>
    <x v="0"/>
  </r>
  <r>
    <x v="407"/>
    <s v="Michael Brown"/>
    <x v="5"/>
    <x v="0"/>
    <s v="Great customer service, the product exceeded expectations."/>
    <x v="211"/>
    <x v="0"/>
    <x v="0"/>
  </r>
  <r>
    <x v="408"/>
    <s v="James Taylor"/>
    <x v="7"/>
    <x v="1"/>
    <s v="Great value for money, very reliable."/>
    <x v="203"/>
    <x v="11"/>
    <x v="1"/>
  </r>
  <r>
    <x v="409"/>
    <s v="Jane Smith"/>
    <x v="6"/>
    <x v="3"/>
    <s v="Not satisfied with the product. Would not recommend."/>
    <x v="36"/>
    <x v="1"/>
    <x v="1"/>
  </r>
  <r>
    <x v="410"/>
    <s v="James Taylor"/>
    <x v="1"/>
    <x v="2"/>
    <s v="Perfect for my needs, exactly what I was looking for."/>
    <x v="49"/>
    <x v="2"/>
    <x v="2"/>
  </r>
  <r>
    <x v="411"/>
    <s v="Emily Davis"/>
    <x v="5"/>
    <x v="4"/>
    <s v="It works fine, but there are better options available."/>
    <x v="15"/>
    <x v="8"/>
    <x v="0"/>
  </r>
  <r>
    <x v="412"/>
    <s v="Emily Davis"/>
    <x v="9"/>
    <x v="3"/>
    <s v="Perfect for my needs, exactly what I was looking for."/>
    <x v="251"/>
    <x v="12"/>
    <x v="1"/>
  </r>
  <r>
    <x v="413"/>
    <s v="Mark Johnson"/>
    <x v="6"/>
    <x v="2"/>
    <s v="Great customer service, the product exceeded expectations."/>
    <x v="252"/>
    <x v="9"/>
    <x v="2"/>
  </r>
  <r>
    <x v="414"/>
    <s v="Michael Brown"/>
    <x v="7"/>
    <x v="0"/>
    <s v="Great customer service, the product exceeded expectations."/>
    <x v="6"/>
    <x v="5"/>
    <x v="0"/>
  </r>
  <r>
    <x v="415"/>
    <s v="Laura Clark"/>
    <x v="8"/>
    <x v="1"/>
    <s v="Good product, but the delivery was late."/>
    <x v="15"/>
    <x v="8"/>
    <x v="1"/>
  </r>
  <r>
    <x v="416"/>
    <s v="Sarah Wilson"/>
    <x v="5"/>
    <x v="0"/>
    <s v="Not satisfied with the product. Would not recommend."/>
    <x v="253"/>
    <x v="11"/>
    <x v="0"/>
  </r>
  <r>
    <x v="417"/>
    <s v="Sarah Wilson"/>
    <x v="5"/>
    <x v="4"/>
    <s v="Disappointed. The product arrived damaged."/>
    <x v="254"/>
    <x v="2"/>
    <x v="0"/>
  </r>
  <r>
    <x v="418"/>
    <s v="Mark Johnson"/>
    <x v="8"/>
    <x v="1"/>
    <s v="Perfect for my needs, exactly what I was looking for."/>
    <x v="193"/>
    <x v="2"/>
    <x v="1"/>
  </r>
  <r>
    <x v="419"/>
    <s v="James Taylor"/>
    <x v="4"/>
    <x v="1"/>
    <s v="Good product, but the delivery was late."/>
    <x v="77"/>
    <x v="11"/>
    <x v="1"/>
  </r>
  <r>
    <x v="420"/>
    <s v="David Lee"/>
    <x v="3"/>
    <x v="0"/>
    <s v="Perfect for my needs, exactly what I was looking for."/>
    <x v="205"/>
    <x v="8"/>
    <x v="0"/>
  </r>
  <r>
    <x v="421"/>
    <s v="David Lee"/>
    <x v="0"/>
    <x v="1"/>
    <s v="The product broke within a few weeks, not durable."/>
    <x v="32"/>
    <x v="12"/>
    <x v="1"/>
  </r>
  <r>
    <x v="422"/>
    <s v="Mark Johnson"/>
    <x v="3"/>
    <x v="4"/>
    <s v="Great customer service, the product exceeded expectations."/>
    <x v="148"/>
    <x v="0"/>
    <x v="0"/>
  </r>
  <r>
    <x v="423"/>
    <s v="Jane Smith"/>
    <x v="6"/>
    <x v="2"/>
    <s v="Disappointed. The product arrived damaged."/>
    <x v="166"/>
    <x v="5"/>
    <x v="2"/>
  </r>
  <r>
    <x v="424"/>
    <s v="Sarah Wilson"/>
    <x v="6"/>
    <x v="2"/>
    <s v="Disappointed. The product arrived damaged."/>
    <x v="183"/>
    <x v="5"/>
    <x v="2"/>
  </r>
  <r>
    <x v="425"/>
    <s v="Sophia Adams"/>
    <x v="6"/>
    <x v="3"/>
    <s v="Not satisfied with the product. Would not recommend."/>
    <x v="234"/>
    <x v="12"/>
    <x v="1"/>
  </r>
  <r>
    <x v="426"/>
    <s v="Emily Davis"/>
    <x v="0"/>
    <x v="4"/>
    <s v="Perfect for my needs, exactly what I was looking for."/>
    <x v="246"/>
    <x v="9"/>
    <x v="0"/>
  </r>
  <r>
    <x v="427"/>
    <s v="Michael Brown"/>
    <x v="5"/>
    <x v="4"/>
    <s v="Good product, but the delivery was late."/>
    <x v="152"/>
    <x v="0"/>
    <x v="0"/>
  </r>
  <r>
    <x v="428"/>
    <s v="Laura Clark"/>
    <x v="7"/>
    <x v="4"/>
    <s v="It works fine, but there are better options available."/>
    <x v="255"/>
    <x v="10"/>
    <x v="0"/>
  </r>
  <r>
    <x v="429"/>
    <s v="Michael Brown"/>
    <x v="0"/>
    <x v="4"/>
    <s v="Not satisfied with the product. Would not recommend."/>
    <x v="160"/>
    <x v="7"/>
    <x v="0"/>
  </r>
  <r>
    <x v="430"/>
    <s v="Laura Clark"/>
    <x v="8"/>
    <x v="1"/>
    <s v="The quality could be better, but it's decent for the price."/>
    <x v="8"/>
    <x v="6"/>
    <x v="1"/>
  </r>
  <r>
    <x v="431"/>
    <s v="Laura Clark"/>
    <x v="8"/>
    <x v="4"/>
    <s v="Good product, but the delivery was late."/>
    <x v="54"/>
    <x v="4"/>
    <x v="0"/>
  </r>
  <r>
    <x v="432"/>
    <s v="Emily Davis"/>
    <x v="4"/>
    <x v="3"/>
    <s v="It works fine, but there are better options available."/>
    <x v="149"/>
    <x v="0"/>
    <x v="1"/>
  </r>
  <r>
    <x v="433"/>
    <s v="James Taylor"/>
    <x v="1"/>
    <x v="2"/>
    <s v="The quality could be better, but it's decent for the price."/>
    <x v="191"/>
    <x v="3"/>
    <x v="2"/>
  </r>
  <r>
    <x v="434"/>
    <s v="John Doe"/>
    <x v="1"/>
    <x v="2"/>
    <s v="Disappointed. The product arrived damaged."/>
    <x v="170"/>
    <x v="4"/>
    <x v="2"/>
  </r>
  <r>
    <x v="435"/>
    <s v="Sophia Adams"/>
    <x v="4"/>
    <x v="2"/>
    <s v="Great customer service, the product exceeded expectations."/>
    <x v="256"/>
    <x v="6"/>
    <x v="2"/>
  </r>
  <r>
    <x v="436"/>
    <s v="Michael Brown"/>
    <x v="9"/>
    <x v="3"/>
    <s v="Great customer service, the product exceeded expectations."/>
    <x v="257"/>
    <x v="1"/>
    <x v="1"/>
  </r>
  <r>
    <x v="437"/>
    <s v="James Taylor"/>
    <x v="8"/>
    <x v="4"/>
    <s v="Perfect for my needs, exactly what I was looking for."/>
    <x v="258"/>
    <x v="10"/>
    <x v="0"/>
  </r>
  <r>
    <x v="438"/>
    <s v="James Taylor"/>
    <x v="6"/>
    <x v="2"/>
    <s v="Great value for money, very reliable."/>
    <x v="259"/>
    <x v="8"/>
    <x v="2"/>
  </r>
  <r>
    <x v="200"/>
    <s v="Sarah Wilson"/>
    <x v="1"/>
    <x v="0"/>
    <s v="The product broke within a few weeks, not durable."/>
    <x v="65"/>
    <x v="0"/>
    <x v="0"/>
  </r>
  <r>
    <x v="439"/>
    <s v="John Doe"/>
    <x v="5"/>
    <x v="4"/>
    <s v="It works fine, but there are better options available."/>
    <x v="222"/>
    <x v="8"/>
    <x v="0"/>
  </r>
  <r>
    <x v="440"/>
    <s v="Laura Clark"/>
    <x v="2"/>
    <x v="4"/>
    <s v="The quality could be better, but it's decent for the price."/>
    <x v="28"/>
    <x v="8"/>
    <x v="0"/>
  </r>
  <r>
    <x v="441"/>
    <s v="Michael Brown"/>
    <x v="3"/>
    <x v="3"/>
    <s v="The quality could be better, but it's decent for the price."/>
    <x v="260"/>
    <x v="5"/>
    <x v="1"/>
  </r>
  <r>
    <x v="442"/>
    <s v="James Taylor"/>
    <x v="6"/>
    <x v="2"/>
    <s v="The product broke within a few weeks, not durable."/>
    <x v="113"/>
    <x v="1"/>
    <x v="2"/>
  </r>
  <r>
    <x v="443"/>
    <s v="Mark Johnson"/>
    <x v="6"/>
    <x v="3"/>
    <s v="Disappointed. The product arrived damaged."/>
    <x v="151"/>
    <x v="1"/>
    <x v="1"/>
  </r>
  <r>
    <x v="444"/>
    <s v="James Taylor"/>
    <x v="9"/>
    <x v="4"/>
    <s v="Disappointed. The product arrived damaged."/>
    <x v="255"/>
    <x v="10"/>
    <x v="0"/>
  </r>
  <r>
    <x v="445"/>
    <s v="James Taylor"/>
    <x v="9"/>
    <x v="0"/>
    <s v="It works fine, but there are better options available."/>
    <x v="235"/>
    <x v="12"/>
    <x v="0"/>
  </r>
  <r>
    <x v="446"/>
    <s v="David Lee"/>
    <x v="7"/>
    <x v="0"/>
    <s v="Good product, but the delivery was late."/>
    <x v="167"/>
    <x v="6"/>
    <x v="0"/>
  </r>
  <r>
    <x v="447"/>
    <s v="Sarah Wilson"/>
    <x v="6"/>
    <x v="0"/>
    <s v="Not satisfied with the product. Would not recommend."/>
    <x v="261"/>
    <x v="0"/>
    <x v="0"/>
  </r>
  <r>
    <x v="448"/>
    <s v="Sophia Adams"/>
    <x v="9"/>
    <x v="3"/>
    <s v="Not satisfied with the product. Would not recommend."/>
    <x v="96"/>
    <x v="3"/>
    <x v="1"/>
  </r>
  <r>
    <x v="449"/>
    <s v="Mark Johnson"/>
    <x v="2"/>
    <x v="0"/>
    <s v="Perfect for my needs, exactly what I was looking for."/>
    <x v="166"/>
    <x v="5"/>
    <x v="0"/>
  </r>
  <r>
    <x v="450"/>
    <s v="David Lee"/>
    <x v="4"/>
    <x v="4"/>
    <s v="It works fine, but there are better options available."/>
    <x v="262"/>
    <x v="1"/>
    <x v="0"/>
  </r>
  <r>
    <x v="451"/>
    <s v="Jane Smith"/>
    <x v="1"/>
    <x v="3"/>
    <s v="Good product, but the delivery was late."/>
    <x v="263"/>
    <x v="3"/>
    <x v="1"/>
  </r>
  <r>
    <x v="452"/>
    <s v="Jane Smith"/>
    <x v="2"/>
    <x v="1"/>
    <s v="Perfect for my needs, exactly what I was looking for."/>
    <x v="155"/>
    <x v="9"/>
    <x v="1"/>
  </r>
  <r>
    <x v="453"/>
    <s v="Jane Smith"/>
    <x v="9"/>
    <x v="0"/>
    <s v="It works fine, but there are better options available."/>
    <x v="264"/>
    <x v="6"/>
    <x v="0"/>
  </r>
  <r>
    <x v="454"/>
    <s v="Jane Smith"/>
    <x v="4"/>
    <x v="1"/>
    <s v="Great value for money, very reliable."/>
    <x v="59"/>
    <x v="7"/>
    <x v="1"/>
  </r>
  <r>
    <x v="455"/>
    <s v="Sophia Adams"/>
    <x v="5"/>
    <x v="1"/>
    <s v="Not satisfied with the product. Would not recommend."/>
    <x v="265"/>
    <x v="0"/>
    <x v="1"/>
  </r>
  <r>
    <x v="456"/>
    <s v="David Lee"/>
    <x v="2"/>
    <x v="2"/>
    <s v="The product broke within a few weeks, not durable."/>
    <x v="266"/>
    <x v="7"/>
    <x v="2"/>
  </r>
  <r>
    <x v="457"/>
    <s v="Laura Clark"/>
    <x v="9"/>
    <x v="4"/>
    <s v="Disappointed. The product arrived damaged."/>
    <x v="237"/>
    <x v="1"/>
    <x v="0"/>
  </r>
  <r>
    <x v="458"/>
    <s v="James Taylor"/>
    <x v="5"/>
    <x v="0"/>
    <s v="Excellent product, really happy with the purchase!"/>
    <x v="161"/>
    <x v="6"/>
    <x v="0"/>
  </r>
  <r>
    <x v="459"/>
    <s v="Mark Johnson"/>
    <x v="0"/>
    <x v="4"/>
    <s v="Great value for money, very reliable."/>
    <x v="247"/>
    <x v="7"/>
    <x v="0"/>
  </r>
  <r>
    <x v="460"/>
    <s v="Michael Brown"/>
    <x v="7"/>
    <x v="1"/>
    <s v="It works fine, but there are better options available."/>
    <x v="267"/>
    <x v="0"/>
    <x v="1"/>
  </r>
  <r>
    <x v="461"/>
    <s v="John Doe"/>
    <x v="5"/>
    <x v="0"/>
    <s v="Perfect for my needs, exactly what I was looking for."/>
    <x v="268"/>
    <x v="9"/>
    <x v="0"/>
  </r>
  <r>
    <x v="462"/>
    <s v="Sarah Wilson"/>
    <x v="8"/>
    <x v="1"/>
    <s v="Great customer service, the product exceeded expectations."/>
    <x v="213"/>
    <x v="12"/>
    <x v="1"/>
  </r>
  <r>
    <x v="463"/>
    <s v="James Taylor"/>
    <x v="4"/>
    <x v="2"/>
    <s v="Good product, but the delivery was late."/>
    <x v="269"/>
    <x v="12"/>
    <x v="2"/>
  </r>
  <r>
    <x v="464"/>
    <s v="Laura Clark"/>
    <x v="2"/>
    <x v="1"/>
    <s v="It works fine, but there are better options available."/>
    <x v="216"/>
    <x v="8"/>
    <x v="1"/>
  </r>
  <r>
    <x v="465"/>
    <s v="Mark Johnson"/>
    <x v="2"/>
    <x v="1"/>
    <s v="Perfect for my needs, exactly what I was looking for."/>
    <x v="160"/>
    <x v="7"/>
    <x v="1"/>
  </r>
  <r>
    <x v="257"/>
    <s v="Laura Clark"/>
    <x v="7"/>
    <x v="3"/>
    <s v="The product broke within a few weeks, not durable."/>
    <x v="125"/>
    <x v="3"/>
    <x v="1"/>
  </r>
  <r>
    <x v="466"/>
    <s v="Mark Johnson"/>
    <x v="9"/>
    <x v="3"/>
    <s v="Disappointed. The product arrived damaged."/>
    <x v="67"/>
    <x v="11"/>
    <x v="1"/>
  </r>
  <r>
    <x v="467"/>
    <s v="Laura Clark"/>
    <x v="7"/>
    <x v="1"/>
    <s v="It works fine, but there are better options available."/>
    <x v="270"/>
    <x v="1"/>
    <x v="1"/>
  </r>
  <r>
    <x v="468"/>
    <s v="Mark Johnson"/>
    <x v="2"/>
    <x v="0"/>
    <s v="Not satisfied with the product. Would not recommend."/>
    <x v="174"/>
    <x v="9"/>
    <x v="0"/>
  </r>
  <r>
    <x v="469"/>
    <s v="John Doe"/>
    <x v="2"/>
    <x v="4"/>
    <s v="Great customer service, the product exceeded expectations."/>
    <x v="271"/>
    <x v="3"/>
    <x v="0"/>
  </r>
  <r>
    <x v="470"/>
    <s v="Mark Johnson"/>
    <x v="4"/>
    <x v="2"/>
    <s v="The product broke within a few weeks, not durable."/>
    <x v="247"/>
    <x v="7"/>
    <x v="2"/>
  </r>
  <r>
    <x v="471"/>
    <s v="Mark Johnson"/>
    <x v="2"/>
    <x v="1"/>
    <s v="Disappointed. The product arrived damaged."/>
    <x v="248"/>
    <x v="6"/>
    <x v="1"/>
  </r>
  <r>
    <x v="472"/>
    <s v="James Taylor"/>
    <x v="6"/>
    <x v="1"/>
    <s v="It works fine, but there are better options available."/>
    <x v="272"/>
    <x v="10"/>
    <x v="1"/>
  </r>
  <r>
    <x v="473"/>
    <s v="John Doe"/>
    <x v="4"/>
    <x v="1"/>
    <s v="Great value for money, very reliable."/>
    <x v="170"/>
    <x v="4"/>
    <x v="1"/>
  </r>
  <r>
    <x v="474"/>
    <s v="Michael Brown"/>
    <x v="9"/>
    <x v="2"/>
    <s v="Great customer service, the product exceeded expectations."/>
    <x v="23"/>
    <x v="12"/>
    <x v="2"/>
  </r>
  <r>
    <x v="475"/>
    <s v="Jane Smith"/>
    <x v="3"/>
    <x v="3"/>
    <s v="Perfect for my needs, exactly what I was looking for."/>
    <x v="24"/>
    <x v="5"/>
    <x v="1"/>
  </r>
  <r>
    <x v="476"/>
    <s v="John Doe"/>
    <x v="5"/>
    <x v="2"/>
    <s v="The product broke within a few weeks, not durable."/>
    <x v="111"/>
    <x v="9"/>
    <x v="2"/>
  </r>
  <r>
    <x v="477"/>
    <s v="Mark Johnson"/>
    <x v="6"/>
    <x v="1"/>
    <s v="Not satisfied with the product. Would not recommend."/>
    <x v="202"/>
    <x v="5"/>
    <x v="1"/>
  </r>
  <r>
    <x v="478"/>
    <s v="John Doe"/>
    <x v="1"/>
    <x v="0"/>
    <s v="It works fine, but there are better options available."/>
    <x v="4"/>
    <x v="1"/>
    <x v="0"/>
  </r>
  <r>
    <x v="479"/>
    <s v="James Taylor"/>
    <x v="5"/>
    <x v="1"/>
    <s v="Not satisfied with the product. Would not recommend."/>
    <x v="268"/>
    <x v="9"/>
    <x v="1"/>
  </r>
  <r>
    <x v="480"/>
    <s v="Jane Smith"/>
    <x v="0"/>
    <x v="3"/>
    <s v="Great value for money, very reliable."/>
    <x v="17"/>
    <x v="9"/>
    <x v="1"/>
  </r>
  <r>
    <x v="481"/>
    <s v="Emily Davis"/>
    <x v="2"/>
    <x v="3"/>
    <s v="Great value for money, very reliable."/>
    <x v="273"/>
    <x v="4"/>
    <x v="1"/>
  </r>
  <r>
    <x v="482"/>
    <s v="Michael Brown"/>
    <x v="1"/>
    <x v="4"/>
    <s v="The quality could be better, but it's decent for the price."/>
    <x v="169"/>
    <x v="7"/>
    <x v="0"/>
  </r>
  <r>
    <x v="483"/>
    <s v="Laura Clark"/>
    <x v="0"/>
    <x v="3"/>
    <s v="Not satisfied with the product. Would not recommend."/>
    <x v="219"/>
    <x v="8"/>
    <x v="1"/>
  </r>
  <r>
    <x v="484"/>
    <s v="Laura Clark"/>
    <x v="6"/>
    <x v="0"/>
    <s v="The quality could be better, but it's decent for the price."/>
    <x v="259"/>
    <x v="8"/>
    <x v="0"/>
  </r>
  <r>
    <x v="485"/>
    <s v="David Lee"/>
    <x v="9"/>
    <x v="1"/>
    <s v="Good product, but the delivery was late."/>
    <x v="274"/>
    <x v="2"/>
    <x v="1"/>
  </r>
  <r>
    <x v="486"/>
    <s v="Sarah Wilson"/>
    <x v="9"/>
    <x v="1"/>
    <s v="It works fine, but there are better options available."/>
    <x v="52"/>
    <x v="7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1">
  <r>
    <s v="FB1782"/>
    <s v="David Lee"/>
    <x v="0"/>
    <n v="2"/>
    <s v="Disappointed. The product arrived damaged."/>
    <d v="2025-06-25T06:23:05"/>
    <s v="Jun-2025"/>
    <x v="0"/>
  </r>
  <r>
    <s v="FB2178"/>
    <s v="James Taylor"/>
    <x v="1"/>
    <n v="5"/>
    <s v="Perfect for my needs, exactly what I was looking for."/>
    <d v="2025-03-03T06:23:05"/>
    <s v="Mar-2025"/>
    <x v="1"/>
  </r>
  <r>
    <s v="FB9986"/>
    <s v="James Taylor"/>
    <x v="2"/>
    <n v="5"/>
    <s v="Perfect for my needs, exactly what I was looking for."/>
    <d v="2024-12-19T06:23:05"/>
    <s v="Dec-2024"/>
    <x v="1"/>
  </r>
  <r>
    <s v="FB8081"/>
    <s v="Sophia Adams"/>
    <x v="3"/>
    <n v="3"/>
    <s v="The quality could be better, but it's decent for the price."/>
    <d v="2025-07-27T06:23:05"/>
    <s v="Jul-2025"/>
    <x v="2"/>
  </r>
  <r>
    <s v="FB2281"/>
    <s v="Mark Johnson"/>
    <x v="4"/>
    <n v="5"/>
    <s v="Not satisfied with the product. Would not recommend."/>
    <d v="2025-03-10T06:23:05"/>
    <s v="Mar-2025"/>
    <x v="1"/>
  </r>
  <r>
    <s v="FB3263"/>
    <s v="Sarah Wilson"/>
    <x v="4"/>
    <n v="4"/>
    <s v="The product broke within a few weeks, not durable."/>
    <d v="2024-09-09T06:23:05"/>
    <s v="Sep-2024"/>
    <x v="1"/>
  </r>
  <r>
    <s v="FB2422"/>
    <s v="David Lee"/>
    <x v="5"/>
    <n v="3"/>
    <s v="The quality could be better, but it's decent for the price."/>
    <d v="2025-02-21T06:23:05"/>
    <s v="Feb-2025"/>
    <x v="2"/>
  </r>
  <r>
    <s v="FB8270"/>
    <s v="Mark Johnson"/>
    <x v="6"/>
    <n v="5"/>
    <s v="The product broke within a few weeks, not durable."/>
    <d v="2025-06-29T06:23:05"/>
    <s v="Jun-2025"/>
    <x v="1"/>
  </r>
  <r>
    <s v="FB4080"/>
    <s v="Sophia Adams"/>
    <x v="1"/>
    <n v="3"/>
    <s v="Disappointed. The product arrived damaged."/>
    <d v="2025-04-21T06:23:05"/>
    <s v="Apr-2025"/>
    <x v="2"/>
  </r>
  <r>
    <s v="FB4799"/>
    <s v="Sarah Wilson"/>
    <x v="2"/>
    <n v="2"/>
    <s v="The quality could be better, but it's decent for the price."/>
    <d v="2025-07-23T06:23:05"/>
    <s v="Jul-2025"/>
    <x v="0"/>
  </r>
  <r>
    <s v="FB3103"/>
    <s v="David Lee"/>
    <x v="4"/>
    <n v="5"/>
    <s v="It works fine, but there are better options available."/>
    <d v="2025-01-13T06:23:05"/>
    <s v="Jan-2025"/>
    <x v="1"/>
  </r>
  <r>
    <s v="FB6287"/>
    <s v="Michael Brown"/>
    <x v="4"/>
    <n v="1"/>
    <s v="Good product, but the delivery was late."/>
    <d v="2025-07-06T06:23:05"/>
    <s v="Jul-2025"/>
    <x v="0"/>
  </r>
  <r>
    <s v="FB1882"/>
    <s v="Emily Davis"/>
    <x v="2"/>
    <n v="4"/>
    <s v="The quality could be better, but it's decent for the price."/>
    <d v="2025-02-24T06:23:05"/>
    <s v="Feb-2025"/>
    <x v="1"/>
  </r>
  <r>
    <s v="FB7516"/>
    <s v="James Taylor"/>
    <x v="7"/>
    <n v="4"/>
    <s v="Excellent product, really happy with the purchase!"/>
    <d v="2025-01-29T06:23:05"/>
    <s v="Jan-2025"/>
    <x v="1"/>
  </r>
  <r>
    <s v="FB2316"/>
    <s v="Sarah Wilson"/>
    <x v="0"/>
    <n v="1"/>
    <s v="The quality could be better, but it's decent for the price."/>
    <d v="2024-09-07T06:23:05"/>
    <s v="Sep-2024"/>
    <x v="0"/>
  </r>
  <r>
    <s v="FB3277"/>
    <s v="Jane Smith"/>
    <x v="8"/>
    <n v="3"/>
    <s v="Good product, but the delivery was late."/>
    <d v="2024-11-20T06:23:05"/>
    <s v="Nov-2024"/>
    <x v="2"/>
  </r>
  <r>
    <s v="FB8760"/>
    <s v="Sophia Adams"/>
    <x v="3"/>
    <n v="3"/>
    <s v="Disappointed. The product arrived damaged."/>
    <d v="2025-01-14T06:23:05"/>
    <s v="Jan-2025"/>
    <x v="2"/>
  </r>
  <r>
    <s v="FB9092"/>
    <s v="Sarah Wilson"/>
    <x v="5"/>
    <n v="3"/>
    <s v="It works fine, but there are better options available."/>
    <d v="2024-10-17T06:23:05"/>
    <s v="Oct-2024"/>
    <x v="2"/>
  </r>
  <r>
    <s v="FB3044"/>
    <s v="David Lee"/>
    <x v="3"/>
    <n v="2"/>
    <s v="The product broke within a few weeks, not durable."/>
    <d v="2025-08-03T06:23:05"/>
    <s v="Aug-2025"/>
    <x v="0"/>
  </r>
  <r>
    <s v="FB1603"/>
    <s v="Jane Smith"/>
    <x v="5"/>
    <n v="1"/>
    <s v="Excellent product, really happy with the purchase!"/>
    <d v="2025-08-18T06:23:05"/>
    <s v="Aug-2025"/>
    <x v="0"/>
  </r>
  <r>
    <s v="FB1032"/>
    <s v="Mark Johnson"/>
    <x v="3"/>
    <n v="3"/>
    <s v="Perfect for my needs, exactly what I was looking for."/>
    <d v="2024-08-23T06:23:05"/>
    <s v="Aug-2024"/>
    <x v="2"/>
  </r>
  <r>
    <s v="FB7106"/>
    <s v="James Taylor"/>
    <x v="1"/>
    <n v="5"/>
    <s v="Good product, but the delivery was late."/>
    <d v="2025-07-20T06:23:05"/>
    <s v="Jul-2025"/>
    <x v="1"/>
  </r>
  <r>
    <s v="FB2582"/>
    <s v="Sophia Adams"/>
    <x v="4"/>
    <n v="4"/>
    <s v="Disappointed. The product arrived damaged."/>
    <d v="2024-09-03T06:23:05"/>
    <s v="Sep-2024"/>
    <x v="1"/>
  </r>
  <r>
    <s v="FB2329"/>
    <s v="Michael Brown"/>
    <x v="3"/>
    <n v="1"/>
    <s v="Perfect for my needs, exactly what I was looking for."/>
    <d v="2025-05-19T06:23:05"/>
    <s v="May-2025"/>
    <x v="0"/>
  </r>
  <r>
    <s v="FB1549"/>
    <s v="Mark Johnson"/>
    <x v="7"/>
    <n v="2"/>
    <s v="Perfect for my needs, exactly what I was looking for."/>
    <d v="2025-02-04T06:23:05"/>
    <s v="Feb-2025"/>
    <x v="0"/>
  </r>
  <r>
    <s v="FB7924"/>
    <s v="Jane Smith"/>
    <x v="4"/>
    <n v="1"/>
    <s v="Great customer service, the product exceeded expectations."/>
    <d v="2024-10-19T06:23:05"/>
    <s v="Oct-2024"/>
    <x v="0"/>
  </r>
  <r>
    <s v="FB5879"/>
    <s v="Emily Davis"/>
    <x v="2"/>
    <n v="5"/>
    <s v="Perfect for my needs, exactly what I was looking for."/>
    <d v="2025-08-09T06:23:05"/>
    <s v="Aug-2025"/>
    <x v="1"/>
  </r>
  <r>
    <s v="FB2368"/>
    <s v="Emily Davis"/>
    <x v="0"/>
    <n v="4"/>
    <s v="Great value for money, very reliable."/>
    <d v="2025-03-18T06:23:05"/>
    <s v="Mar-2025"/>
    <x v="1"/>
  </r>
  <r>
    <s v="FB6037"/>
    <s v="Mark Johnson"/>
    <x v="0"/>
    <n v="5"/>
    <s v="Excellent product, really happy with the purchase!"/>
    <d v="2024-11-25T06:23:05"/>
    <s v="Nov-2024"/>
    <x v="1"/>
  </r>
  <r>
    <s v="FB2287"/>
    <s v="David Lee"/>
    <x v="3"/>
    <n v="2"/>
    <s v="The product broke within a few weeks, not durable."/>
    <d v="2025-05-09T06:23:05"/>
    <s v="May-2025"/>
    <x v="0"/>
  </r>
  <r>
    <s v="FB3720"/>
    <s v="Sarah Wilson"/>
    <x v="4"/>
    <n v="4"/>
    <s v="Excellent product, really happy with the purchase!"/>
    <d v="2024-10-24T06:23:05"/>
    <s v="Oct-2024"/>
    <x v="1"/>
  </r>
  <r>
    <s v="FB2883"/>
    <s v="James Taylor"/>
    <x v="5"/>
    <n v="2"/>
    <s v="Not satisfied with the product. Would not recommend."/>
    <d v="2025-03-08T06:23:05"/>
    <s v="Mar-2025"/>
    <x v="0"/>
  </r>
  <r>
    <s v="FB5823"/>
    <s v="Laura Clark"/>
    <x v="2"/>
    <n v="2"/>
    <s v="Disappointed. The product arrived damaged."/>
    <d v="2025-05-30T06:23:05"/>
    <s v="May-2025"/>
    <x v="0"/>
  </r>
  <r>
    <s v="FB9710"/>
    <s v="James Taylor"/>
    <x v="6"/>
    <n v="1"/>
    <s v="It works fine, but there are better options available."/>
    <d v="2024-10-07T06:23:05"/>
    <s v="Oct-2024"/>
    <x v="0"/>
  </r>
  <r>
    <s v="FB6457"/>
    <s v="John Doe"/>
    <x v="3"/>
    <n v="1"/>
    <s v="Perfect for my needs, exactly what I was looking for."/>
    <d v="2024-10-14T06:23:05"/>
    <s v="Oct-2024"/>
    <x v="0"/>
  </r>
  <r>
    <s v="FB8418"/>
    <s v="Emily Davis"/>
    <x v="1"/>
    <n v="1"/>
    <s v="Good product, but the delivery was late."/>
    <d v="2025-01-15T06:23:05"/>
    <s v="Jan-2025"/>
    <x v="0"/>
  </r>
  <r>
    <s v="FB8236"/>
    <s v="Michael Brown"/>
    <x v="3"/>
    <n v="2"/>
    <s v="Great customer service, the product exceeded expectations."/>
    <d v="2025-03-12T06:23:05"/>
    <s v="Mar-2025"/>
    <x v="0"/>
  </r>
  <r>
    <s v="FB6407"/>
    <s v="Sophia Adams"/>
    <x v="2"/>
    <n v="2"/>
    <s v="Disappointed. The product arrived damaged."/>
    <d v="2025-01-03T06:23:05"/>
    <s v="Jan-2025"/>
    <x v="0"/>
  </r>
  <r>
    <s v="FB7942"/>
    <s v="John Doe"/>
    <x v="3"/>
    <n v="4"/>
    <s v="Disappointed. The product arrived damaged."/>
    <d v="2024-12-07T06:23:05"/>
    <s v="Dec-2024"/>
    <x v="1"/>
  </r>
  <r>
    <s v="FB7296"/>
    <s v="Sophia Adams"/>
    <x v="2"/>
    <n v="2"/>
    <s v="Excellent product, really happy with the purchase!"/>
    <d v="2025-05-10T06:23:05"/>
    <s v="May-2025"/>
    <x v="0"/>
  </r>
  <r>
    <s v="FB9844"/>
    <s v="James Taylor"/>
    <x v="9"/>
    <n v="3"/>
    <s v="Not satisfied with the product. Would not recommend."/>
    <d v="2025-04-13T06:23:05"/>
    <s v="Apr-2025"/>
    <x v="2"/>
  </r>
  <r>
    <s v="FB1712"/>
    <s v="Emily Davis"/>
    <x v="4"/>
    <n v="3"/>
    <s v="Not satisfied with the product. Would not recommend."/>
    <d v="2024-12-02T06:23:05"/>
    <s v="Dec-2024"/>
    <x v="2"/>
  </r>
  <r>
    <s v="FB1411"/>
    <s v="James Taylor"/>
    <x v="6"/>
    <n v="1"/>
    <s v="Not satisfied with the product. Would not recommend."/>
    <d v="2024-11-21T06:23:05"/>
    <s v="Nov-2024"/>
    <x v="0"/>
  </r>
  <r>
    <s v="FB7532"/>
    <s v="David Lee"/>
    <x v="6"/>
    <n v="1"/>
    <s v="Not satisfied with the product. Would not recommend."/>
    <d v="2025-03-16T06:23:05"/>
    <s v="Mar-2025"/>
    <x v="0"/>
  </r>
  <r>
    <s v="FB2115"/>
    <s v="Mark Johnson"/>
    <x v="1"/>
    <n v="5"/>
    <s v="It works fine, but there are better options available."/>
    <d v="2025-08-01T06:23:05"/>
    <s v="Aug-2025"/>
    <x v="1"/>
  </r>
  <r>
    <s v="FB8962"/>
    <s v="Sophia Adams"/>
    <x v="7"/>
    <n v="4"/>
    <s v="Perfect for my needs, exactly what I was looking for."/>
    <d v="2025-03-16T06:23:05"/>
    <s v="Mar-2025"/>
    <x v="1"/>
  </r>
  <r>
    <s v="FB4448"/>
    <s v="Sophia Adams"/>
    <x v="6"/>
    <n v="3"/>
    <s v="Great customer service, the product exceeded expectations."/>
    <d v="2024-10-08T06:23:05"/>
    <s v="Oct-2024"/>
    <x v="2"/>
  </r>
  <r>
    <s v="FB6140"/>
    <s v="Sophia Adams"/>
    <x v="8"/>
    <n v="2"/>
    <s v="Disappointed. The product arrived damaged."/>
    <d v="2025-02-24T06:23:05"/>
    <s v="Feb-2025"/>
    <x v="0"/>
  </r>
  <r>
    <s v="FB4941"/>
    <s v="Jane Smith"/>
    <x v="6"/>
    <n v="5"/>
    <s v="The quality could be better, but it's decent for the price."/>
    <d v="2025-02-27T06:23:05"/>
    <s v="Feb-2025"/>
    <x v="1"/>
  </r>
  <r>
    <s v="FB3476"/>
    <s v="Emily Davis"/>
    <x v="4"/>
    <n v="3"/>
    <s v="Great customer service, the product exceeded expectations."/>
    <d v="2024-09-30T06:23:05"/>
    <s v="Sep-2024"/>
    <x v="2"/>
  </r>
  <r>
    <s v="FB5798"/>
    <s v="David Lee"/>
    <x v="0"/>
    <n v="1"/>
    <s v="The quality could be better, but it's decent for the price."/>
    <d v="2025-01-11T06:23:05"/>
    <s v="Jan-2025"/>
    <x v="0"/>
  </r>
  <r>
    <s v="FB1717"/>
    <s v="David Lee"/>
    <x v="8"/>
    <n v="5"/>
    <s v="The product broke within a few weeks, not durable."/>
    <d v="2024-12-18T06:23:05"/>
    <s v="Dec-2024"/>
    <x v="1"/>
  </r>
  <r>
    <s v="FB6700"/>
    <s v="John Doe"/>
    <x v="9"/>
    <n v="4"/>
    <s v="Excellent product, really happy with the purchase!"/>
    <d v="2025-08-14T06:23:05"/>
    <s v="Aug-2025"/>
    <x v="1"/>
  </r>
  <r>
    <s v="FB4071"/>
    <s v="Laura Clark"/>
    <x v="7"/>
    <n v="1"/>
    <s v="Disappointed. The product arrived damaged."/>
    <d v="2024-12-27T06:23:05"/>
    <s v="Dec-2024"/>
    <x v="0"/>
  </r>
  <r>
    <s v="FB8796"/>
    <s v="John Doe"/>
    <x v="4"/>
    <n v="2"/>
    <s v="The product broke within a few weeks, not durable."/>
    <d v="2025-01-08T06:23:05"/>
    <s v="Jan-2025"/>
    <x v="0"/>
  </r>
  <r>
    <s v="FB2391"/>
    <s v="Emily Davis"/>
    <x v="4"/>
    <n v="5"/>
    <s v="The product broke within a few weeks, not durable."/>
    <d v="2025-08-07T06:23:05"/>
    <s v="Aug-2025"/>
    <x v="1"/>
  </r>
  <r>
    <s v="FB4286"/>
    <s v="David Lee"/>
    <x v="7"/>
    <n v="2"/>
    <s v="Great customer service, the product exceeded expectations."/>
    <d v="2024-09-27T06:23:05"/>
    <s v="Sep-2024"/>
    <x v="0"/>
  </r>
  <r>
    <s v="FB9399"/>
    <s v="James Taylor"/>
    <x v="9"/>
    <n v="1"/>
    <s v="The product broke within a few weeks, not durable."/>
    <d v="2024-12-24T06:23:05"/>
    <s v="Dec-2024"/>
    <x v="0"/>
  </r>
  <r>
    <s v="FB6763"/>
    <s v="Sarah Wilson"/>
    <x v="3"/>
    <n v="3"/>
    <s v="Excellent product, really happy with the purchase!"/>
    <d v="2025-01-11T06:23:05"/>
    <s v="Jan-2025"/>
    <x v="2"/>
  </r>
  <r>
    <s v="FB6783"/>
    <s v="John Doe"/>
    <x v="6"/>
    <n v="4"/>
    <s v="Not satisfied with the product. Would not recommend."/>
    <d v="2025-05-10T06:23:05"/>
    <s v="May-2025"/>
    <x v="1"/>
  </r>
  <r>
    <s v="FB8940"/>
    <s v="Laura Clark"/>
    <x v="9"/>
    <n v="2"/>
    <s v="The product broke within a few weeks, not durable."/>
    <d v="2025-04-24T06:23:05"/>
    <s v="Apr-2025"/>
    <x v="0"/>
  </r>
  <r>
    <s v="FB7852"/>
    <s v="Jane Smith"/>
    <x v="6"/>
    <n v="4"/>
    <s v="Excellent product, really happy with the purchase!"/>
    <d v="2025-04-15T06:23:05"/>
    <s v="Apr-2025"/>
    <x v="1"/>
  </r>
  <r>
    <s v="FB4282"/>
    <s v="Jane Smith"/>
    <x v="9"/>
    <n v="5"/>
    <s v="The product broke within a few weeks, not durable."/>
    <d v="2025-01-06T06:23:05"/>
    <s v="Jan-2025"/>
    <x v="1"/>
  </r>
  <r>
    <s v="FB8712"/>
    <s v="James Taylor"/>
    <x v="8"/>
    <n v="2"/>
    <s v="Perfect for my needs, exactly what I was looking for."/>
    <d v="2025-01-22T06:23:05"/>
    <s v="Jan-2025"/>
    <x v="0"/>
  </r>
  <r>
    <s v="FB3652"/>
    <s v="David Lee"/>
    <x v="6"/>
    <n v="3"/>
    <s v="Disappointed. The product arrived damaged."/>
    <d v="2025-07-16T06:23:05"/>
    <s v="Jul-2025"/>
    <x v="2"/>
  </r>
  <r>
    <s v="FB2429"/>
    <s v="Jane Smith"/>
    <x v="3"/>
    <n v="2"/>
    <s v="Great customer service, the product exceeded expectations."/>
    <d v="2025-07-10T06:23:05"/>
    <s v="Jul-2025"/>
    <x v="0"/>
  </r>
  <r>
    <s v="FB6376"/>
    <s v="Emily Davis"/>
    <x v="4"/>
    <n v="4"/>
    <s v="The product broke within a few weeks, not durable."/>
    <d v="2025-07-27T06:23:05"/>
    <s v="Jul-2025"/>
    <x v="1"/>
  </r>
  <r>
    <s v="FB4591"/>
    <s v="Laura Clark"/>
    <x v="1"/>
    <n v="4"/>
    <s v="Great customer service, the product exceeded expectations."/>
    <d v="2025-02-02T06:23:05"/>
    <s v="Feb-2025"/>
    <x v="1"/>
  </r>
  <r>
    <s v="FB4553"/>
    <s v="David Lee"/>
    <x v="1"/>
    <n v="1"/>
    <s v="The product broke within a few weeks, not durable."/>
    <d v="2025-07-20T06:23:05"/>
    <s v="Jul-2025"/>
    <x v="0"/>
  </r>
  <r>
    <s v="FB3534"/>
    <s v="Emily Davis"/>
    <x v="8"/>
    <n v="2"/>
    <s v="Great value for money, very reliable."/>
    <d v="2025-06-17T06:23:05"/>
    <s v="Jun-2025"/>
    <x v="0"/>
  </r>
  <r>
    <s v="FB5280"/>
    <s v="David Lee"/>
    <x v="5"/>
    <n v="5"/>
    <s v="Excellent product, really happy with the purchase!"/>
    <d v="2025-06-17T06:23:05"/>
    <s v="Jun-2025"/>
    <x v="1"/>
  </r>
  <r>
    <s v="FB1730"/>
    <s v="Mark Johnson"/>
    <x v="5"/>
    <n v="3"/>
    <s v="Good product, but the delivery was late."/>
    <d v="2025-04-23T06:23:05"/>
    <s v="Apr-2025"/>
    <x v="2"/>
  </r>
  <r>
    <s v="FB8296"/>
    <s v="David Lee"/>
    <x v="5"/>
    <n v="5"/>
    <s v="It works fine, but there are better options available."/>
    <d v="2025-06-26T06:23:05"/>
    <s v="Jun-2025"/>
    <x v="1"/>
  </r>
  <r>
    <s v="FB2828"/>
    <s v="Sarah Wilson"/>
    <x v="4"/>
    <n v="3"/>
    <s v="It works fine, but there are better options available."/>
    <d v="2025-02-20T06:23:05"/>
    <s v="Feb-2025"/>
    <x v="2"/>
  </r>
  <r>
    <s v="FB4590"/>
    <s v="James Taylor"/>
    <x v="8"/>
    <n v="1"/>
    <s v="The product broke within a few weeks, not durable."/>
    <d v="2024-08-27T06:23:05"/>
    <s v="Aug-2024"/>
    <x v="0"/>
  </r>
  <r>
    <s v="FB9536"/>
    <s v="Sarah Wilson"/>
    <x v="2"/>
    <n v="1"/>
    <s v="Not satisfied with the product. Would not recommend."/>
    <d v="2025-02-06T06:23:05"/>
    <s v="Feb-2025"/>
    <x v="0"/>
  </r>
  <r>
    <s v="FB9511"/>
    <s v="Emily Davis"/>
    <x v="8"/>
    <n v="3"/>
    <s v="Not satisfied with the product. Would not recommend."/>
    <d v="2025-01-20T06:23:05"/>
    <s v="Jan-2025"/>
    <x v="2"/>
  </r>
  <r>
    <s v="FB5986"/>
    <s v="David Lee"/>
    <x v="2"/>
    <n v="4"/>
    <s v="Great value for money, very reliable."/>
    <d v="2025-07-17T06:23:05"/>
    <s v="Jul-2025"/>
    <x v="1"/>
  </r>
  <r>
    <s v="FB5271"/>
    <s v="Laura Clark"/>
    <x v="1"/>
    <n v="4"/>
    <s v="Excellent product, really happy with the purchase!"/>
    <d v="2024-12-31T06:23:05"/>
    <s v="Dec-2024"/>
    <x v="1"/>
  </r>
  <r>
    <s v="FB5359"/>
    <s v="Jane Smith"/>
    <x v="5"/>
    <n v="4"/>
    <s v="Excellent product, really happy with the purchase!"/>
    <d v="2025-03-11T06:23:05"/>
    <s v="Mar-2025"/>
    <x v="1"/>
  </r>
  <r>
    <s v="FB9743"/>
    <s v="Sophia Adams"/>
    <x v="6"/>
    <n v="1"/>
    <s v="Great customer service, the product exceeded expectations."/>
    <d v="2025-06-09T06:23:05"/>
    <s v="Jun-2025"/>
    <x v="0"/>
  </r>
  <r>
    <s v="FB3222"/>
    <s v="Jane Smith"/>
    <x v="0"/>
    <n v="2"/>
    <s v="The product broke within a few weeks, not durable."/>
    <d v="2025-03-11T06:23:05"/>
    <s v="Mar-2025"/>
    <x v="0"/>
  </r>
  <r>
    <s v="FB3102"/>
    <s v="Jane Smith"/>
    <x v="5"/>
    <n v="5"/>
    <s v="The quality could be better, but it's decent for the price."/>
    <d v="2025-07-04T06:23:05"/>
    <s v="Jul-2025"/>
    <x v="1"/>
  </r>
  <r>
    <s v="FB3210"/>
    <s v="Sarah Wilson"/>
    <x v="1"/>
    <n v="5"/>
    <s v="Perfect for my needs, exactly what I was looking for."/>
    <d v="2024-10-10T06:23:05"/>
    <s v="Oct-2024"/>
    <x v="1"/>
  </r>
  <r>
    <s v="FB2650"/>
    <s v="James Taylor"/>
    <x v="4"/>
    <n v="3"/>
    <s v="Not satisfied with the product. Would not recommend."/>
    <d v="2025-06-12T06:23:05"/>
    <s v="Jun-2025"/>
    <x v="2"/>
  </r>
  <r>
    <s v="FB1652"/>
    <s v="David Lee"/>
    <x v="4"/>
    <n v="3"/>
    <s v="Great value for money, very reliable."/>
    <d v="2024-08-18T06:23:05"/>
    <s v="Aug-2024"/>
    <x v="2"/>
  </r>
  <r>
    <s v="FB9572"/>
    <s v="Emily Davis"/>
    <x v="6"/>
    <n v="3"/>
    <s v="Perfect for my needs, exactly what I was looking for."/>
    <d v="2025-03-27T06:23:05"/>
    <s v="Mar-2025"/>
    <x v="2"/>
  </r>
  <r>
    <s v="FB9623"/>
    <s v="Jane Smith"/>
    <x v="4"/>
    <n v="4"/>
    <s v="Great value for money, very reliable."/>
    <d v="2025-05-28T06:23:05"/>
    <s v="May-2025"/>
    <x v="1"/>
  </r>
  <r>
    <s v="FB5779"/>
    <s v="Mark Johnson"/>
    <x v="0"/>
    <n v="5"/>
    <s v="Great value for money, very reliable."/>
    <d v="2025-05-11T06:23:05"/>
    <s v="May-2025"/>
    <x v="1"/>
  </r>
  <r>
    <s v="FB9142"/>
    <s v="Michael Brown"/>
    <x v="4"/>
    <n v="4"/>
    <s v="It works fine, but there are better options available."/>
    <d v="2025-07-21T06:23:05"/>
    <s v="Jul-2025"/>
    <x v="1"/>
  </r>
  <r>
    <s v="FB7117"/>
    <s v="Sophia Adams"/>
    <x v="5"/>
    <n v="1"/>
    <s v="Disappointed. The product arrived damaged."/>
    <d v="2025-04-24T06:23:05"/>
    <s v="Apr-2025"/>
    <x v="0"/>
  </r>
  <r>
    <s v="FB1084"/>
    <s v="Emily Davis"/>
    <x v="9"/>
    <n v="2"/>
    <s v="Disappointed. The product arrived damaged."/>
    <d v="2024-12-07T06:23:05"/>
    <s v="Dec-2024"/>
    <x v="0"/>
  </r>
  <r>
    <s v="FB6600"/>
    <s v="David Lee"/>
    <x v="5"/>
    <n v="5"/>
    <s v="Perfect for my needs, exactly what I was looking for."/>
    <d v="2024-10-07T06:23:05"/>
    <s v="Oct-2024"/>
    <x v="1"/>
  </r>
  <r>
    <s v="FB1769"/>
    <s v="Sophia Adams"/>
    <x v="5"/>
    <n v="2"/>
    <s v="The product broke within a few weeks, not durable."/>
    <d v="2024-09-15T06:23:05"/>
    <s v="Sep-2024"/>
    <x v="0"/>
  </r>
  <r>
    <s v="FB2797"/>
    <s v="Sophia Adams"/>
    <x v="5"/>
    <n v="1"/>
    <s v="Perfect for my needs, exactly what I was looking for."/>
    <d v="2025-02-05T06:23:05"/>
    <s v="Feb-2025"/>
    <x v="0"/>
  </r>
  <r>
    <s v="FB8293"/>
    <s v="John Doe"/>
    <x v="5"/>
    <n v="4"/>
    <s v="The product broke within a few weeks, not durable."/>
    <d v="2024-09-27T06:23:05"/>
    <s v="Sep-2024"/>
    <x v="1"/>
  </r>
  <r>
    <s v="FB5697"/>
    <s v="Mark Johnson"/>
    <x v="7"/>
    <n v="5"/>
    <s v="The quality could be better, but it's decent for the price."/>
    <d v="2024-08-29T06:23:05"/>
    <s v="Aug-2024"/>
    <x v="1"/>
  </r>
  <r>
    <s v="FB6280"/>
    <s v="Michael Brown"/>
    <x v="4"/>
    <n v="4"/>
    <s v="Perfect for my needs, exactly what I was looking for."/>
    <d v="2025-06-04T06:23:05"/>
    <s v="Jun-2025"/>
    <x v="1"/>
  </r>
  <r>
    <s v="FB6739"/>
    <s v="Jane Smith"/>
    <x v="0"/>
    <n v="2"/>
    <s v="It works fine, but there are better options available."/>
    <d v="2025-04-05T06:23:05"/>
    <s v="Apr-2025"/>
    <x v="0"/>
  </r>
  <r>
    <s v="FB8370"/>
    <s v="Emily Davis"/>
    <x v="6"/>
    <n v="2"/>
    <s v="Great value for money, very reliable."/>
    <d v="2024-09-14T06:23:05"/>
    <s v="Sep-2024"/>
    <x v="0"/>
  </r>
  <r>
    <s v="FB3319"/>
    <s v="Emily Davis"/>
    <x v="5"/>
    <n v="1"/>
    <s v="The quality could be better, but it's decent for the price."/>
    <d v="2024-12-07T06:23:05"/>
    <s v="Dec-2024"/>
    <x v="0"/>
  </r>
  <r>
    <s v="FB4572"/>
    <s v="Sarah Wilson"/>
    <x v="8"/>
    <n v="2"/>
    <s v="Great customer service, the product exceeded expectations."/>
    <d v="2025-03-23T06:23:05"/>
    <s v="Mar-2025"/>
    <x v="0"/>
  </r>
  <r>
    <s v="FB2919"/>
    <s v="Sarah Wilson"/>
    <x v="1"/>
    <n v="3"/>
    <s v="Great value for money, very reliable."/>
    <d v="2025-08-04T06:23:05"/>
    <s v="Aug-2025"/>
    <x v="2"/>
  </r>
  <r>
    <s v="FB8996"/>
    <s v="Laura Clark"/>
    <x v="4"/>
    <n v="4"/>
    <s v="Great value for money, very reliable."/>
    <d v="2024-08-31T06:23:05"/>
    <s v="Aug-2024"/>
    <x v="1"/>
  </r>
  <r>
    <s v="FB7673"/>
    <s v="Jane Smith"/>
    <x v="0"/>
    <n v="3"/>
    <s v="Good product, but the delivery was late."/>
    <d v="2025-05-24T06:23:05"/>
    <s v="May-2025"/>
    <x v="2"/>
  </r>
  <r>
    <s v="FB9575"/>
    <s v="Laura Clark"/>
    <x v="2"/>
    <n v="4"/>
    <s v="Perfect for my needs, exactly what I was looking for."/>
    <d v="2025-08-09T06:23:05"/>
    <s v="Aug-2025"/>
    <x v="1"/>
  </r>
  <r>
    <s v="FB3644"/>
    <s v="Jane Smith"/>
    <x v="0"/>
    <n v="2"/>
    <s v="Perfect for my needs, exactly what I was looking for."/>
    <d v="2025-04-03T06:23:05"/>
    <s v="Apr-2025"/>
    <x v="0"/>
  </r>
  <r>
    <s v="FB1028"/>
    <s v="James Taylor"/>
    <x v="6"/>
    <n v="5"/>
    <s v="Great customer service, the product exceeded expectations."/>
    <d v="2025-08-06T06:23:05"/>
    <s v="Aug-2025"/>
    <x v="1"/>
  </r>
  <r>
    <s v="FB9613"/>
    <s v="Emily Davis"/>
    <x v="1"/>
    <n v="5"/>
    <s v="Disappointed. The product arrived damaged."/>
    <d v="2024-08-31T06:23:05"/>
    <s v="Aug-2024"/>
    <x v="1"/>
  </r>
  <r>
    <s v="FB6269"/>
    <s v="James Taylor"/>
    <x v="0"/>
    <n v="3"/>
    <s v="Great value for money, very reliable."/>
    <d v="2025-05-30T06:23:05"/>
    <s v="May-2025"/>
    <x v="2"/>
  </r>
  <r>
    <s v="FB7097"/>
    <s v="Sarah Wilson"/>
    <x v="1"/>
    <n v="1"/>
    <s v="Good product, but the delivery was late."/>
    <d v="2025-02-16T06:23:05"/>
    <s v="Feb-2025"/>
    <x v="0"/>
  </r>
  <r>
    <s v="FB7426"/>
    <s v="Sophia Adams"/>
    <x v="4"/>
    <n v="5"/>
    <s v="The quality could be better, but it's decent for the price."/>
    <d v="2025-05-13T06:23:05"/>
    <s v="May-2025"/>
    <x v="1"/>
  </r>
  <r>
    <s v="FB1761"/>
    <s v="Mark Johnson"/>
    <x v="8"/>
    <n v="2"/>
    <s v="Disappointed. The product arrived damaged."/>
    <d v="2024-12-18T06:23:05"/>
    <s v="Dec-2024"/>
    <x v="0"/>
  </r>
  <r>
    <s v="FB8112"/>
    <s v="David Lee"/>
    <x v="4"/>
    <n v="4"/>
    <s v="Great value for money, very reliable."/>
    <d v="2025-07-15T06:23:05"/>
    <s v="Jul-2025"/>
    <x v="1"/>
  </r>
  <r>
    <s v="FB6624"/>
    <s v="Sophia Adams"/>
    <x v="1"/>
    <n v="3"/>
    <s v="The quality could be better, but it's decent for the price."/>
    <d v="2024-11-25T06:23:05"/>
    <s v="Nov-2024"/>
    <x v="2"/>
  </r>
  <r>
    <s v="FB2077"/>
    <s v="Sophia Adams"/>
    <x v="5"/>
    <n v="5"/>
    <s v="Disappointed. The product arrived damaged."/>
    <d v="2024-10-06T06:23:05"/>
    <s v="Oct-2024"/>
    <x v="1"/>
  </r>
  <r>
    <s v="FB8696"/>
    <s v="Sarah Wilson"/>
    <x v="8"/>
    <n v="4"/>
    <s v="Not satisfied with the product. Would not recommend."/>
    <d v="2025-01-30T06:23:05"/>
    <s v="Jan-2025"/>
    <x v="1"/>
  </r>
  <r>
    <s v="FB2682"/>
    <s v="Sophia Adams"/>
    <x v="5"/>
    <n v="5"/>
    <s v="Great customer service, the product exceeded expectations."/>
    <d v="2025-02-01T06:23:05"/>
    <s v="Feb-2025"/>
    <x v="1"/>
  </r>
  <r>
    <s v="FB9537"/>
    <s v="David Lee"/>
    <x v="7"/>
    <n v="2"/>
    <s v="Great customer service, the product exceeded expectations."/>
    <d v="2025-03-04T06:23:05"/>
    <s v="Mar-2025"/>
    <x v="0"/>
  </r>
  <r>
    <s v="FB1346"/>
    <s v="Michael Brown"/>
    <x v="8"/>
    <n v="2"/>
    <s v="Great value for money, very reliable."/>
    <d v="2024-12-20T06:23:05"/>
    <s v="Dec-2024"/>
    <x v="0"/>
  </r>
  <r>
    <s v="FB3725"/>
    <s v="Mark Johnson"/>
    <x v="1"/>
    <n v="1"/>
    <s v="Perfect for my needs, exactly what I was looking for."/>
    <d v="2024-11-07T06:23:05"/>
    <s v="Nov-2024"/>
    <x v="0"/>
  </r>
  <r>
    <s v="FB8471"/>
    <s v="James Taylor"/>
    <x v="2"/>
    <n v="3"/>
    <s v="The product broke within a few weeks, not durable."/>
    <d v="2024-11-05T06:23:05"/>
    <s v="Nov-2024"/>
    <x v="2"/>
  </r>
  <r>
    <s v="FB7523"/>
    <s v="Jane Smith"/>
    <x v="6"/>
    <n v="4"/>
    <s v="Great customer service, the product exceeded expectations."/>
    <d v="2024-12-11T06:23:05"/>
    <s v="Dec-2024"/>
    <x v="1"/>
  </r>
  <r>
    <s v="FB7445"/>
    <s v="Sarah Wilson"/>
    <x v="2"/>
    <n v="3"/>
    <s v="Perfect for my needs, exactly what I was looking for."/>
    <d v="2025-04-18T06:23:05"/>
    <s v="Apr-2025"/>
    <x v="2"/>
  </r>
  <r>
    <s v="FB9350"/>
    <s v="Laura Clark"/>
    <x v="7"/>
    <n v="5"/>
    <s v="Great value for money, very reliable."/>
    <d v="2025-02-04T06:23:05"/>
    <s v="Feb-2025"/>
    <x v="1"/>
  </r>
  <r>
    <s v="FB4217"/>
    <s v="David Lee"/>
    <x v="2"/>
    <n v="3"/>
    <s v="Disappointed. The product arrived damaged."/>
    <d v="2025-01-12T06:23:05"/>
    <s v="Jan-2025"/>
    <x v="2"/>
  </r>
  <r>
    <s v="FB7060"/>
    <s v="Emily Davis"/>
    <x v="5"/>
    <n v="3"/>
    <s v="Good product, but the delivery was late."/>
    <d v="2025-05-13T06:23:05"/>
    <s v="May-2025"/>
    <x v="2"/>
  </r>
  <r>
    <s v="FB3286"/>
    <s v="Michael Brown"/>
    <x v="8"/>
    <n v="1"/>
    <s v="Not satisfied with the product. Would not recommend."/>
    <d v="2025-02-19T06:23:05"/>
    <s v="Feb-2025"/>
    <x v="0"/>
  </r>
  <r>
    <s v="FB8943"/>
    <s v="Emily Davis"/>
    <x v="9"/>
    <n v="5"/>
    <s v="Great value for money, very reliable."/>
    <d v="2024-11-01T06:23:05"/>
    <s v="Nov-2024"/>
    <x v="1"/>
  </r>
  <r>
    <s v="FB3690"/>
    <s v="Sophia Adams"/>
    <x v="0"/>
    <n v="5"/>
    <s v="Great value for money, very reliable."/>
    <d v="2025-01-25T06:23:05"/>
    <s v="Jan-2025"/>
    <x v="1"/>
  </r>
  <r>
    <s v="FB3684"/>
    <s v="Laura Clark"/>
    <x v="4"/>
    <n v="3"/>
    <s v="Not satisfied with the product. Would not recommend."/>
    <d v="2025-02-01T06:23:05"/>
    <s v="Feb-2025"/>
    <x v="2"/>
  </r>
  <r>
    <s v="FB3174"/>
    <s v="John Doe"/>
    <x v="1"/>
    <n v="2"/>
    <s v="It works fine, but there are better options available."/>
    <d v="2024-08-29T06:23:05"/>
    <s v="Aug-2024"/>
    <x v="0"/>
  </r>
  <r>
    <s v="FB7780"/>
    <s v="John Doe"/>
    <x v="4"/>
    <n v="4"/>
    <s v="Good product, but the delivery was late."/>
    <d v="2024-10-14T06:23:05"/>
    <s v="Oct-2024"/>
    <x v="1"/>
  </r>
  <r>
    <s v="FB9013"/>
    <s v="James Taylor"/>
    <x v="8"/>
    <n v="2"/>
    <s v="It works fine, but there are better options available."/>
    <d v="2024-12-09T06:23:05"/>
    <s v="Dec-2024"/>
    <x v="0"/>
  </r>
  <r>
    <s v="FB1532"/>
    <s v="David Lee"/>
    <x v="2"/>
    <n v="5"/>
    <s v="Not satisfied with the product. Would not recommend."/>
    <d v="2025-01-29T06:23:05"/>
    <s v="Jan-2025"/>
    <x v="1"/>
  </r>
  <r>
    <s v="FB4043"/>
    <s v="Sarah Wilson"/>
    <x v="6"/>
    <n v="2"/>
    <s v="The quality could be better, but it's decent for the price."/>
    <d v="2024-10-18T06:23:05"/>
    <s v="Oct-2024"/>
    <x v="0"/>
  </r>
  <r>
    <s v="FB7486"/>
    <s v="David Lee"/>
    <x v="5"/>
    <n v="4"/>
    <s v="The quality could be better, but it's decent for the price."/>
    <d v="2024-12-17T06:23:05"/>
    <s v="Dec-2024"/>
    <x v="1"/>
  </r>
  <r>
    <s v="FB5882"/>
    <s v="James Taylor"/>
    <x v="4"/>
    <n v="1"/>
    <s v="Good product, but the delivery was late."/>
    <d v="2025-03-27T06:23:05"/>
    <s v="Mar-2025"/>
    <x v="0"/>
  </r>
  <r>
    <s v="FB6472"/>
    <s v="Michael Brown"/>
    <x v="1"/>
    <n v="4"/>
    <s v="The quality could be better, but it's decent for the price."/>
    <d v="2025-03-09T06:23:05"/>
    <s v="Mar-2025"/>
    <x v="1"/>
  </r>
  <r>
    <s v="FB9905"/>
    <s v="Jane Smith"/>
    <x v="1"/>
    <n v="5"/>
    <s v="Disappointed. The product arrived damaged."/>
    <d v="2025-02-09T06:23:05"/>
    <s v="Feb-2025"/>
    <x v="1"/>
  </r>
  <r>
    <s v="FB9177"/>
    <s v="David Lee"/>
    <x v="5"/>
    <n v="2"/>
    <s v="Perfect for my needs, exactly what I was looking for."/>
    <d v="2025-05-02T06:23:05"/>
    <s v="May-2025"/>
    <x v="0"/>
  </r>
  <r>
    <s v="FB7147"/>
    <s v="Jane Smith"/>
    <x v="9"/>
    <n v="1"/>
    <s v="Perfect for my needs, exactly what I was looking for."/>
    <d v="2025-07-25T06:23:05"/>
    <s v="Jul-2025"/>
    <x v="0"/>
  </r>
  <r>
    <s v="FB2633"/>
    <s v="John Doe"/>
    <x v="7"/>
    <n v="4"/>
    <s v="Good product, but the delivery was late."/>
    <d v="2025-03-23T06:23:05"/>
    <s v="Mar-2025"/>
    <x v="1"/>
  </r>
  <r>
    <s v="FB7891"/>
    <s v="John Doe"/>
    <x v="3"/>
    <n v="2"/>
    <s v="The quality could be better, but it's decent for the price."/>
    <d v="2025-02-14T06:23:05"/>
    <s v="Feb-2025"/>
    <x v="0"/>
  </r>
  <r>
    <s v="FB4306"/>
    <s v="Sarah Wilson"/>
    <x v="7"/>
    <n v="2"/>
    <s v="Good product, but the delivery was late."/>
    <d v="2024-09-09T06:23:05"/>
    <s v="Sep-2024"/>
    <x v="0"/>
  </r>
  <r>
    <s v="FB6293"/>
    <s v="Jane Smith"/>
    <x v="2"/>
    <n v="2"/>
    <s v="Excellent product, really happy with the purchase!"/>
    <d v="2025-08-12T06:23:05"/>
    <s v="Aug-2025"/>
    <x v="0"/>
  </r>
  <r>
    <s v="FB1116"/>
    <s v="Laura Clark"/>
    <x v="9"/>
    <n v="4"/>
    <s v="Great value for money, very reliable."/>
    <d v="2024-10-27T06:23:05"/>
    <s v="Oct-2024"/>
    <x v="1"/>
  </r>
  <r>
    <s v="FB9685"/>
    <s v="Mark Johnson"/>
    <x v="7"/>
    <n v="3"/>
    <s v="Excellent product, really happy with the purchase!"/>
    <d v="2025-05-16T06:23:05"/>
    <s v="May-2025"/>
    <x v="2"/>
  </r>
  <r>
    <s v="FB9734"/>
    <s v="Emily Davis"/>
    <x v="1"/>
    <n v="4"/>
    <s v="Excellent product, really happy with the purchase!"/>
    <d v="2025-05-12T06:23:05"/>
    <s v="May-2025"/>
    <x v="1"/>
  </r>
  <r>
    <s v="FB7901"/>
    <s v="John Doe"/>
    <x v="2"/>
    <n v="2"/>
    <s v="The quality could be better, but it's decent for the price."/>
    <d v="2025-02-14T06:23:05"/>
    <s v="Feb-2025"/>
    <x v="0"/>
  </r>
  <r>
    <s v="FB7699"/>
    <s v="Jane Smith"/>
    <x v="2"/>
    <n v="4"/>
    <s v="Disappointed. The product arrived damaged."/>
    <d v="2025-07-22T06:23:05"/>
    <s v="Jul-2025"/>
    <x v="1"/>
  </r>
  <r>
    <s v="FB7830"/>
    <s v="Mark Johnson"/>
    <x v="3"/>
    <n v="1"/>
    <s v="Disappointed. The product arrived damaged."/>
    <d v="2025-01-11T06:23:05"/>
    <s v="Jan-2025"/>
    <x v="0"/>
  </r>
  <r>
    <s v="FB1358"/>
    <s v="Sarah Wilson"/>
    <x v="4"/>
    <n v="3"/>
    <s v="The product broke within a few weeks, not durable."/>
    <d v="2025-02-22T06:23:05"/>
    <s v="Feb-2025"/>
    <x v="2"/>
  </r>
  <r>
    <s v="FB6157"/>
    <s v="Michael Brown"/>
    <x v="7"/>
    <n v="2"/>
    <s v="It works fine, but there are better options available."/>
    <d v="2024-10-19T06:23:05"/>
    <s v="Oct-2024"/>
    <x v="0"/>
  </r>
  <r>
    <s v="FB2340"/>
    <s v="Jane Smith"/>
    <x v="1"/>
    <n v="3"/>
    <s v="Great customer service, the product exceeded expectations."/>
    <d v="2025-05-24T06:23:05"/>
    <s v="May-2025"/>
    <x v="2"/>
  </r>
  <r>
    <s v="FB5194"/>
    <s v="Mark Johnson"/>
    <x v="9"/>
    <n v="5"/>
    <s v="Perfect for my needs, exactly what I was looking for."/>
    <d v="2025-06-12T06:23:05"/>
    <s v="Jun-2025"/>
    <x v="1"/>
  </r>
  <r>
    <s v="FB4857"/>
    <s v="Mark Johnson"/>
    <x v="9"/>
    <n v="1"/>
    <s v="Perfect for my needs, exactly what I was looking for."/>
    <d v="2024-12-21T06:23:05"/>
    <s v="Dec-2024"/>
    <x v="0"/>
  </r>
  <r>
    <s v="FB7027"/>
    <s v="Michael Brown"/>
    <x v="1"/>
    <n v="4"/>
    <s v="Not satisfied with the product. Would not recommend."/>
    <d v="2025-07-07T06:23:05"/>
    <s v="Jul-2025"/>
    <x v="1"/>
  </r>
  <r>
    <s v="FB8223"/>
    <s v="James Taylor"/>
    <x v="5"/>
    <n v="1"/>
    <s v="The quality could be better, but it's decent for the price."/>
    <d v="2025-03-20T06:23:05"/>
    <s v="Mar-2025"/>
    <x v="0"/>
  </r>
  <r>
    <s v="FB9064"/>
    <s v="John Doe"/>
    <x v="3"/>
    <n v="1"/>
    <s v="Excellent product, really happy with the purchase!"/>
    <d v="2025-02-03T06:23:05"/>
    <s v="Feb-2025"/>
    <x v="0"/>
  </r>
  <r>
    <s v="FB4911"/>
    <s v="Sarah Wilson"/>
    <x v="1"/>
    <n v="2"/>
    <s v="The quality could be better, but it's decent for the price."/>
    <d v="2024-10-22T06:23:05"/>
    <s v="Oct-2024"/>
    <x v="0"/>
  </r>
  <r>
    <s v="FB6506"/>
    <s v="John Doe"/>
    <x v="8"/>
    <n v="4"/>
    <s v="Disappointed. The product arrived damaged."/>
    <d v="2025-07-19T06:23:05"/>
    <s v="Jul-2025"/>
    <x v="1"/>
  </r>
  <r>
    <s v="FB9948"/>
    <s v="Michael Brown"/>
    <x v="5"/>
    <n v="4"/>
    <s v="Great customer service, the product exceeded expectations."/>
    <d v="2025-08-04T06:23:05"/>
    <s v="Aug-2025"/>
    <x v="1"/>
  </r>
  <r>
    <s v="FB5817"/>
    <s v="Sarah Wilson"/>
    <x v="5"/>
    <n v="5"/>
    <s v="The quality could be better, but it's decent for the price."/>
    <d v="2025-07-26T06:23:05"/>
    <s v="Jul-2025"/>
    <x v="1"/>
  </r>
  <r>
    <s v="FB8299"/>
    <s v="Emily Davis"/>
    <x v="4"/>
    <n v="3"/>
    <s v="It works fine, but there are better options available."/>
    <d v="2025-03-22T06:23:05"/>
    <s v="Mar-2025"/>
    <x v="2"/>
  </r>
  <r>
    <s v="FB7737"/>
    <s v="James Taylor"/>
    <x v="8"/>
    <n v="5"/>
    <s v="Great customer service, the product exceeded expectations."/>
    <d v="2025-08-16T06:23:05"/>
    <s v="Aug-2025"/>
    <x v="1"/>
  </r>
  <r>
    <s v="FB7520"/>
    <s v="Emily Davis"/>
    <x v="3"/>
    <n v="3"/>
    <s v="Good product, but the delivery was late."/>
    <d v="2024-10-29T06:23:05"/>
    <s v="Oct-2024"/>
    <x v="2"/>
  </r>
  <r>
    <s v="FB1815"/>
    <s v="Sophia Adams"/>
    <x v="4"/>
    <n v="2"/>
    <s v="It works fine, but there are better options available."/>
    <d v="2024-10-23T06:23:05"/>
    <s v="Oct-2024"/>
    <x v="0"/>
  </r>
  <r>
    <s v="FB1345"/>
    <s v="David Lee"/>
    <x v="9"/>
    <n v="5"/>
    <s v="Good product, but the delivery was late."/>
    <d v="2024-12-09T06:23:05"/>
    <s v="Dec-2024"/>
    <x v="1"/>
  </r>
  <r>
    <s v="FB1975"/>
    <s v="Michael Brown"/>
    <x v="6"/>
    <n v="3"/>
    <s v="Great value for money, very reliable."/>
    <d v="2025-03-31T06:23:05"/>
    <s v="Mar-2025"/>
    <x v="2"/>
  </r>
  <r>
    <s v="FB3304"/>
    <s v="Sarah Wilson"/>
    <x v="3"/>
    <n v="1"/>
    <s v="Not satisfied with the product. Would not recommend."/>
    <d v="2025-01-25T06:23:05"/>
    <s v="Jan-2025"/>
    <x v="0"/>
  </r>
  <r>
    <s v="FB9532"/>
    <s v="James Taylor"/>
    <x v="8"/>
    <n v="5"/>
    <s v="Great value for money, very reliable."/>
    <d v="2025-05-18T06:23:05"/>
    <s v="May-2025"/>
    <x v="1"/>
  </r>
  <r>
    <s v="FB4920"/>
    <s v="Sarah Wilson"/>
    <x v="6"/>
    <n v="3"/>
    <s v="Great value for money, very reliable."/>
    <d v="2024-08-31T06:23:05"/>
    <s v="Aug-2024"/>
    <x v="2"/>
  </r>
  <r>
    <s v="FB6336"/>
    <s v="James Taylor"/>
    <x v="1"/>
    <n v="1"/>
    <s v="Excellent product, really happy with the purchase!"/>
    <d v="2024-10-30T06:23:05"/>
    <s v="Oct-2024"/>
    <x v="0"/>
  </r>
  <r>
    <s v="FB7144"/>
    <s v="Sarah Wilson"/>
    <x v="0"/>
    <n v="1"/>
    <s v="Good product, but the delivery was late."/>
    <d v="2025-04-08T06:23:05"/>
    <s v="Apr-2025"/>
    <x v="0"/>
  </r>
  <r>
    <s v="FB4251"/>
    <s v="James Taylor"/>
    <x v="4"/>
    <n v="2"/>
    <s v="Excellent product, really happy with the purchase!"/>
    <d v="2025-04-26T06:23:05"/>
    <s v="Apr-2025"/>
    <x v="0"/>
  </r>
  <r>
    <s v="FB7038"/>
    <s v="Emily Davis"/>
    <x v="2"/>
    <n v="1"/>
    <s v="The quality could be better, but it's decent for the price."/>
    <d v="2025-01-04T06:23:05"/>
    <s v="Jan-2025"/>
    <x v="0"/>
  </r>
  <r>
    <s v="FB3772"/>
    <s v="Laura Clark"/>
    <x v="8"/>
    <n v="4"/>
    <s v="Great value for money, very reliable."/>
    <d v="2024-11-10T06:23:05"/>
    <s v="Nov-2024"/>
    <x v="1"/>
  </r>
  <r>
    <s v="FB2560"/>
    <s v="Laura Clark"/>
    <x v="2"/>
    <n v="4"/>
    <s v="Great customer service, the product exceeded expectations."/>
    <d v="2025-03-21T06:23:05"/>
    <s v="Mar-2025"/>
    <x v="1"/>
  </r>
  <r>
    <s v="FB2029"/>
    <s v="Jane Smith"/>
    <x v="3"/>
    <n v="3"/>
    <s v="Great value for money, very reliable."/>
    <d v="2025-05-07T06:23:05"/>
    <s v="May-2025"/>
    <x v="2"/>
  </r>
  <r>
    <s v="FB2292"/>
    <s v="Sophia Adams"/>
    <x v="5"/>
    <n v="1"/>
    <s v="Excellent product, really happy with the purchase!"/>
    <d v="2025-04-19T06:23:05"/>
    <s v="Apr-2025"/>
    <x v="0"/>
  </r>
  <r>
    <s v="FB8047"/>
    <s v="Emily Davis"/>
    <x v="2"/>
    <n v="2"/>
    <s v="Great customer service, the product exceeded expectations."/>
    <d v="2025-01-03T06:23:05"/>
    <s v="Jan-2025"/>
    <x v="0"/>
  </r>
  <r>
    <s v="FB7228"/>
    <s v="Jane Smith"/>
    <x v="6"/>
    <n v="4"/>
    <s v="It works fine, but there are better options available."/>
    <d v="2025-07-04T06:23:05"/>
    <s v="Jul-2025"/>
    <x v="1"/>
  </r>
  <r>
    <s v="FB2432"/>
    <s v="James Taylor"/>
    <x v="1"/>
    <n v="5"/>
    <s v="The quality could be better, but it's decent for the price."/>
    <d v="2025-05-23T06:23:05"/>
    <s v="May-2025"/>
    <x v="1"/>
  </r>
  <r>
    <s v="FB4213"/>
    <s v="Emily Davis"/>
    <x v="6"/>
    <n v="4"/>
    <s v="Not satisfied with the product. Would not recommend."/>
    <d v="2024-11-16T06:23:05"/>
    <s v="Nov-2024"/>
    <x v="1"/>
  </r>
  <r>
    <s v="FB3661"/>
    <s v="Laura Clark"/>
    <x v="4"/>
    <n v="4"/>
    <s v="The quality could be better, but it's decent for the price."/>
    <d v="2025-08-01T06:23:05"/>
    <s v="Aug-2025"/>
    <x v="1"/>
  </r>
  <r>
    <s v="FB3350"/>
    <s v="Sarah Wilson"/>
    <x v="7"/>
    <n v="3"/>
    <s v="Disappointed. The product arrived damaged."/>
    <d v="2024-10-10T06:23:05"/>
    <s v="Oct-2024"/>
    <x v="2"/>
  </r>
  <r>
    <s v="FB7035"/>
    <s v="Laura Clark"/>
    <x v="3"/>
    <n v="5"/>
    <s v="The quality could be better, but it's decent for the price."/>
    <d v="2025-01-12T06:23:05"/>
    <s v="Jan-2025"/>
    <x v="1"/>
  </r>
  <r>
    <s v="FB8195"/>
    <s v="Michael Brown"/>
    <x v="9"/>
    <n v="2"/>
    <s v="Great value for money, very reliable."/>
    <d v="2025-04-07T06:23:05"/>
    <s v="Apr-2025"/>
    <x v="0"/>
  </r>
  <r>
    <s v="FB3143"/>
    <s v="James Taylor"/>
    <x v="0"/>
    <n v="1"/>
    <s v="Disappointed. The product arrived damaged."/>
    <d v="2025-06-22T06:23:05"/>
    <s v="Jun-2025"/>
    <x v="0"/>
  </r>
  <r>
    <s v="FB9501"/>
    <s v="Emily Davis"/>
    <x v="4"/>
    <n v="3"/>
    <s v="Perfect for my needs, exactly what I was looking for."/>
    <d v="2025-06-01T06:23:05"/>
    <s v="Jun-2025"/>
    <x v="2"/>
  </r>
  <r>
    <s v="FB8253"/>
    <s v="Mark Johnson"/>
    <x v="1"/>
    <n v="3"/>
    <s v="It works fine, but there are better options available."/>
    <d v="2025-08-02T06:23:05"/>
    <s v="Aug-2025"/>
    <x v="2"/>
  </r>
  <r>
    <s v="FB3227"/>
    <s v="John Doe"/>
    <x v="2"/>
    <n v="3"/>
    <s v="Not satisfied with the product. Would not recommend."/>
    <d v="2024-12-19T06:23:05"/>
    <s v="Dec-2024"/>
    <x v="2"/>
  </r>
  <r>
    <s v="FB2552"/>
    <s v="David Lee"/>
    <x v="8"/>
    <n v="1"/>
    <s v="Disappointed. The product arrived damaged."/>
    <d v="2025-03-30T06:23:05"/>
    <s v="Mar-2025"/>
    <x v="0"/>
  </r>
  <r>
    <s v="FB1255"/>
    <s v="David Lee"/>
    <x v="7"/>
    <n v="3"/>
    <s v="The quality could be better, but it's decent for the price."/>
    <d v="2025-06-03T06:23:05"/>
    <s v="Jun-2025"/>
    <x v="2"/>
  </r>
  <r>
    <s v="FB8410"/>
    <s v="Jane Smith"/>
    <x v="6"/>
    <n v="2"/>
    <s v="Perfect for my needs, exactly what I was looking for."/>
    <d v="2025-06-07T06:23:05"/>
    <s v="Jun-2025"/>
    <x v="0"/>
  </r>
  <r>
    <s v="FB7786"/>
    <s v="Mark Johnson"/>
    <x v="7"/>
    <n v="1"/>
    <s v="Excellent product, really happy with the purchase!"/>
    <d v="2024-11-23T06:23:05"/>
    <s v="Nov-2024"/>
    <x v="0"/>
  </r>
  <r>
    <s v="FB7847"/>
    <s v="Sarah Wilson"/>
    <x v="0"/>
    <n v="4"/>
    <s v="Perfect for my needs, exactly what I was looking for."/>
    <d v="2025-05-16T06:23:05"/>
    <s v="May-2025"/>
    <x v="1"/>
  </r>
  <r>
    <s v="FB2729"/>
    <s v="James Taylor"/>
    <x v="0"/>
    <n v="2"/>
    <s v="The quality could be better, but it's decent for the price."/>
    <d v="2025-05-23T06:23:05"/>
    <s v="May-2025"/>
    <x v="0"/>
  </r>
  <r>
    <s v="FB4609"/>
    <s v="John Doe"/>
    <x v="3"/>
    <n v="5"/>
    <s v="It works fine, but there are better options available."/>
    <d v="2025-05-16T06:23:05"/>
    <s v="May-2025"/>
    <x v="1"/>
  </r>
  <r>
    <s v="FB2028"/>
    <s v="Sarah Wilson"/>
    <x v="4"/>
    <n v="5"/>
    <s v="Great value for money, very reliable."/>
    <d v="2024-10-01T06:23:05"/>
    <s v="Oct-2024"/>
    <x v="1"/>
  </r>
  <r>
    <s v="FB9499"/>
    <s v="James Taylor"/>
    <x v="0"/>
    <n v="2"/>
    <s v="Great value for money, very reliable."/>
    <d v="2025-04-06T06:23:05"/>
    <s v="Apr-2025"/>
    <x v="0"/>
  </r>
  <r>
    <s v="FB8177"/>
    <s v="Mark Johnson"/>
    <x v="8"/>
    <n v="3"/>
    <s v="The product broke within a few weeks, not durable."/>
    <d v="2024-12-08T06:23:05"/>
    <s v="Dec-2024"/>
    <x v="2"/>
  </r>
  <r>
    <s v="FB8267"/>
    <s v="James Taylor"/>
    <x v="7"/>
    <n v="3"/>
    <s v="Not satisfied with the product. Would not recommend."/>
    <d v="2025-07-09T06:23:05"/>
    <s v="Jul-2025"/>
    <x v="2"/>
  </r>
  <r>
    <s v="FB9257"/>
    <s v="Sophia Adams"/>
    <x v="5"/>
    <n v="3"/>
    <s v="It works fine, but there are better options available."/>
    <d v="2024-09-25T06:23:05"/>
    <s v="Sep-2024"/>
    <x v="2"/>
  </r>
  <r>
    <s v="FB9863"/>
    <s v="David Lee"/>
    <x v="2"/>
    <n v="3"/>
    <s v="Perfect for my needs, exactly what I was looking for."/>
    <d v="2024-09-14T06:23:05"/>
    <s v="Sep-2024"/>
    <x v="2"/>
  </r>
  <r>
    <s v="FB4846"/>
    <s v="Michael Brown"/>
    <x v="5"/>
    <n v="2"/>
    <s v="Excellent product, really happy with the purchase!"/>
    <d v="2025-01-10T06:23:05"/>
    <s v="Jan-2025"/>
    <x v="0"/>
  </r>
  <r>
    <s v="FB2481"/>
    <s v="Laura Clark"/>
    <x v="5"/>
    <n v="4"/>
    <s v="Great value for money, very reliable."/>
    <d v="2024-09-30T06:23:05"/>
    <s v="Sep-2024"/>
    <x v="1"/>
  </r>
  <r>
    <s v="FB4313"/>
    <s v="Sophia Adams"/>
    <x v="9"/>
    <n v="5"/>
    <s v="Good product, but the delivery was late."/>
    <d v="2025-08-14T06:23:05"/>
    <s v="Aug-2025"/>
    <x v="1"/>
  </r>
  <r>
    <s v="FB5667"/>
    <s v="Michael Brown"/>
    <x v="5"/>
    <n v="4"/>
    <s v="Not satisfied with the product. Would not recommend."/>
    <d v="2025-04-17T06:23:05"/>
    <s v="Apr-2025"/>
    <x v="1"/>
  </r>
  <r>
    <s v="FB1807"/>
    <s v="Michael Brown"/>
    <x v="2"/>
    <n v="3"/>
    <s v="Perfect for my needs, exactly what I was looking for."/>
    <d v="2025-08-07T06:23:05"/>
    <s v="Aug-2025"/>
    <x v="2"/>
  </r>
  <r>
    <s v="FB9824"/>
    <s v="Emily Davis"/>
    <x v="7"/>
    <n v="4"/>
    <s v="Disappointed. The product arrived damaged."/>
    <d v="2024-12-21T06:23:05"/>
    <s v="Dec-2024"/>
    <x v="1"/>
  </r>
  <r>
    <s v="FB5563"/>
    <s v="James Taylor"/>
    <x v="2"/>
    <n v="1"/>
    <s v="Great customer service, the product exceeded expectations."/>
    <d v="2024-11-28T06:23:05"/>
    <s v="Nov-2024"/>
    <x v="0"/>
  </r>
  <r>
    <s v="FB6290"/>
    <s v="Michael Brown"/>
    <x v="0"/>
    <n v="4"/>
    <s v="Great value for money, very reliable."/>
    <d v="2024-08-18T06:23:05"/>
    <s v="Aug-2024"/>
    <x v="1"/>
  </r>
  <r>
    <s v="FB7517"/>
    <s v="Sophia Adams"/>
    <x v="5"/>
    <n v="3"/>
    <s v="It works fine, but there are better options available."/>
    <d v="2025-01-16T06:23:05"/>
    <s v="Jan-2025"/>
    <x v="2"/>
  </r>
  <r>
    <s v="FB5048"/>
    <s v="David Lee"/>
    <x v="0"/>
    <n v="4"/>
    <s v="The product broke within a few weeks, not durable."/>
    <d v="2025-06-13T06:23:05"/>
    <s v="Jun-2025"/>
    <x v="1"/>
  </r>
  <r>
    <s v="FB4118"/>
    <s v="Sophia Adams"/>
    <x v="7"/>
    <n v="3"/>
    <s v="Good product, but the delivery was late."/>
    <d v="2024-12-08T06:23:05"/>
    <s v="Dec-2024"/>
    <x v="2"/>
  </r>
  <r>
    <s v="FB7179"/>
    <s v="Emily Davis"/>
    <x v="1"/>
    <n v="2"/>
    <s v="Disappointed. The product arrived damaged."/>
    <d v="2025-02-03T06:23:05"/>
    <s v="Feb-2025"/>
    <x v="0"/>
  </r>
  <r>
    <s v="FB1974"/>
    <s v="David Lee"/>
    <x v="4"/>
    <n v="4"/>
    <s v="Good product, but the delivery was late."/>
    <d v="2024-09-27T06:23:05"/>
    <s v="Sep-2024"/>
    <x v="1"/>
  </r>
  <r>
    <s v="FB1665"/>
    <s v="Mark Johnson"/>
    <x v="8"/>
    <n v="2"/>
    <s v="It works fine, but there are better options available."/>
    <d v="2025-05-23T06:23:05"/>
    <s v="May-2025"/>
    <x v="0"/>
  </r>
  <r>
    <s v="FB6621"/>
    <s v="Michael Brown"/>
    <x v="7"/>
    <n v="3"/>
    <s v="The quality could be better, but it's decent for the price."/>
    <d v="2024-12-22T06:23:05"/>
    <s v="Dec-2024"/>
    <x v="2"/>
  </r>
  <r>
    <s v="FB1237"/>
    <s v="Jane Smith"/>
    <x v="2"/>
    <n v="1"/>
    <s v="The product broke within a few weeks, not durable."/>
    <d v="2025-02-13T06:23:05"/>
    <s v="Feb-2025"/>
    <x v="0"/>
  </r>
  <r>
    <s v="FB9342"/>
    <s v="Michael Brown"/>
    <x v="0"/>
    <n v="1"/>
    <s v="Perfect for my needs, exactly what I was looking for."/>
    <d v="2024-10-08T06:23:05"/>
    <s v="Oct-2024"/>
    <x v="0"/>
  </r>
  <r>
    <s v="FB2732"/>
    <s v="James Taylor"/>
    <x v="5"/>
    <n v="3"/>
    <s v="Perfect for my needs, exactly what I was looking for."/>
    <d v="2024-10-19T06:23:05"/>
    <s v="Oct-2024"/>
    <x v="2"/>
  </r>
  <r>
    <s v="FB2861"/>
    <s v="Michael Brown"/>
    <x v="8"/>
    <n v="1"/>
    <s v="It works fine, but there are better options available."/>
    <d v="2025-04-11T06:23:05"/>
    <s v="Apr-2025"/>
    <x v="0"/>
  </r>
  <r>
    <s v="FB3136"/>
    <s v="John Doe"/>
    <x v="3"/>
    <n v="5"/>
    <s v="Not satisfied with the product. Would not recommend."/>
    <d v="2025-03-01T06:23:05"/>
    <s v="Mar-2025"/>
    <x v="1"/>
  </r>
  <r>
    <s v="FB4770"/>
    <s v="James Taylor"/>
    <x v="9"/>
    <n v="3"/>
    <s v="The product broke within a few weeks, not durable."/>
    <d v="2025-02-13T06:23:05"/>
    <s v="Feb-2025"/>
    <x v="2"/>
  </r>
  <r>
    <s v="FB9906"/>
    <s v="John Doe"/>
    <x v="6"/>
    <n v="1"/>
    <s v="The quality could be better, but it's decent for the price."/>
    <d v="2025-01-01T06:23:05"/>
    <s v="Jan-2025"/>
    <x v="0"/>
  </r>
  <r>
    <s v="FB6816"/>
    <s v="Michael Brown"/>
    <x v="3"/>
    <n v="1"/>
    <s v="Good product, but the delivery was late."/>
    <d v="2025-03-10T06:23:05"/>
    <s v="Mar-2025"/>
    <x v="0"/>
  </r>
  <r>
    <s v="FB1979"/>
    <s v="Laura Clark"/>
    <x v="1"/>
    <n v="5"/>
    <s v="Great customer service, the product exceeded expectations."/>
    <d v="2025-04-15T06:23:05"/>
    <s v="Apr-2025"/>
    <x v="1"/>
  </r>
  <r>
    <s v="FB2915"/>
    <s v="Emily Davis"/>
    <x v="3"/>
    <n v="2"/>
    <s v="Perfect for my needs, exactly what I was looking for."/>
    <d v="2024-09-08T06:23:05"/>
    <s v="Sep-2024"/>
    <x v="0"/>
  </r>
  <r>
    <s v="FB7290"/>
    <s v="Laura Clark"/>
    <x v="4"/>
    <n v="2"/>
    <s v="Disappointed. The product arrived damaged."/>
    <d v="2025-02-12T06:23:05"/>
    <s v="Feb-2025"/>
    <x v="0"/>
  </r>
  <r>
    <s v="FB5514"/>
    <s v="David Lee"/>
    <x v="6"/>
    <n v="1"/>
    <s v="The product broke within a few weeks, not durable."/>
    <d v="2025-04-13T06:23:05"/>
    <s v="Apr-2025"/>
    <x v="0"/>
  </r>
  <r>
    <s v="FB5079"/>
    <s v="Emily Davis"/>
    <x v="8"/>
    <n v="1"/>
    <s v="The product broke within a few weeks, not durable."/>
    <d v="2024-10-09T06:23:05"/>
    <s v="Oct-2024"/>
    <x v="0"/>
  </r>
  <r>
    <s v="FB8896"/>
    <s v="Sophia Adams"/>
    <x v="8"/>
    <n v="4"/>
    <s v="Good product, but the delivery was late."/>
    <d v="2025-07-11T06:23:05"/>
    <s v="Jul-2025"/>
    <x v="1"/>
  </r>
  <r>
    <s v="FB2504"/>
    <s v="Sophia Adams"/>
    <x v="7"/>
    <n v="1"/>
    <s v="Good product, but the delivery was late."/>
    <d v="2024-10-04T06:23:05"/>
    <s v="Oct-2024"/>
    <x v="0"/>
  </r>
  <r>
    <s v="FB4842"/>
    <s v="David Lee"/>
    <x v="5"/>
    <n v="1"/>
    <s v="It works fine, but there are better options available."/>
    <d v="2024-11-07T06:23:05"/>
    <s v="Nov-2024"/>
    <x v="0"/>
  </r>
  <r>
    <s v="FB7167"/>
    <s v="Mark Johnson"/>
    <x v="1"/>
    <n v="1"/>
    <s v="Good product, but the delivery was late."/>
    <d v="2024-11-29T06:23:05"/>
    <s v="Nov-2024"/>
    <x v="0"/>
  </r>
  <r>
    <s v="FB2797"/>
    <s v="Jane Smith"/>
    <x v="4"/>
    <n v="1"/>
    <s v="Perfect for my needs, exactly what I was looking for."/>
    <d v="2025-06-08T06:23:05"/>
    <s v="Jun-2025"/>
    <x v="0"/>
  </r>
  <r>
    <s v="FB2078"/>
    <s v="Laura Clark"/>
    <x v="0"/>
    <n v="1"/>
    <s v="Great customer service, the product exceeded expectations."/>
    <d v="2024-09-25T06:23:05"/>
    <s v="Sep-2024"/>
    <x v="0"/>
  </r>
  <r>
    <s v="FB3771"/>
    <s v="John Doe"/>
    <x v="6"/>
    <n v="3"/>
    <s v="Disappointed. The product arrived damaged."/>
    <d v="2025-02-23T06:23:05"/>
    <s v="Feb-2025"/>
    <x v="2"/>
  </r>
  <r>
    <s v="FB5322"/>
    <s v="Laura Clark"/>
    <x v="9"/>
    <n v="4"/>
    <s v="Great value for money, very reliable."/>
    <d v="2025-06-02T06:23:05"/>
    <s v="Jun-2025"/>
    <x v="1"/>
  </r>
  <r>
    <s v="FB6776"/>
    <s v="Laura Clark"/>
    <x v="4"/>
    <n v="2"/>
    <s v="It works fine, but there are better options available."/>
    <d v="2025-02-14T06:23:05"/>
    <s v="Feb-2025"/>
    <x v="0"/>
  </r>
  <r>
    <s v="FB2707"/>
    <s v="Michael Brown"/>
    <x v="4"/>
    <n v="4"/>
    <s v="It works fine, but there are better options available."/>
    <d v="2025-05-25T06:23:05"/>
    <s v="May-2025"/>
    <x v="1"/>
  </r>
  <r>
    <s v="FB7443"/>
    <s v="John Doe"/>
    <x v="6"/>
    <n v="3"/>
    <s v="Great customer service, the product exceeded expectations."/>
    <d v="2025-07-02T06:23:05"/>
    <s v="Jul-2025"/>
    <x v="2"/>
  </r>
  <r>
    <s v="FB2538"/>
    <s v="John Doe"/>
    <x v="8"/>
    <n v="2"/>
    <s v="Perfect for my needs, exactly what I was looking for."/>
    <d v="2024-09-28T06:23:05"/>
    <s v="Sep-2024"/>
    <x v="0"/>
  </r>
  <r>
    <s v="FB5904"/>
    <s v="David Lee"/>
    <x v="0"/>
    <n v="2"/>
    <s v="Not satisfied with the product. Would not recommend."/>
    <d v="2024-12-07T06:23:05"/>
    <s v="Dec-2024"/>
    <x v="0"/>
  </r>
  <r>
    <s v="FB3932"/>
    <s v="Laura Clark"/>
    <x v="4"/>
    <n v="2"/>
    <s v="It works fine, but there are better options available."/>
    <d v="2025-02-05T06:23:05"/>
    <s v="Feb-2025"/>
    <x v="0"/>
  </r>
  <r>
    <s v="FB9657"/>
    <s v="John Doe"/>
    <x v="6"/>
    <n v="2"/>
    <s v="The product broke within a few weeks, not durable."/>
    <d v="2025-08-11T06:23:05"/>
    <s v="Aug-2025"/>
    <x v="0"/>
  </r>
  <r>
    <s v="FB7461"/>
    <s v="Mark Johnson"/>
    <x v="9"/>
    <n v="3"/>
    <s v="Great customer service, the product exceeded expectations."/>
    <d v="2025-05-23T06:23:05"/>
    <s v="May-2025"/>
    <x v="2"/>
  </r>
  <r>
    <s v="FB9004"/>
    <s v="James Taylor"/>
    <x v="7"/>
    <n v="5"/>
    <s v="Perfect for my needs, exactly what I was looking for."/>
    <d v="2025-07-19T06:23:05"/>
    <s v="Jul-2025"/>
    <x v="1"/>
  </r>
  <r>
    <s v="FB4516"/>
    <s v="James Taylor"/>
    <x v="4"/>
    <n v="1"/>
    <s v="The product broke within a few weeks, not durable."/>
    <d v="2025-03-23T06:23:05"/>
    <s v="Mar-2025"/>
    <x v="0"/>
  </r>
  <r>
    <s v="FB2096"/>
    <s v="David Lee"/>
    <x v="6"/>
    <n v="5"/>
    <s v="Excellent product, really happy with the purchase!"/>
    <d v="2025-02-28T06:23:05"/>
    <s v="Feb-2025"/>
    <x v="1"/>
  </r>
  <r>
    <s v="FB4102"/>
    <s v="Emily Davis"/>
    <x v="5"/>
    <n v="2"/>
    <s v="Good product, but the delivery was late."/>
    <d v="2024-11-21T06:23:05"/>
    <s v="Nov-2024"/>
    <x v="0"/>
  </r>
  <r>
    <s v="FB2464"/>
    <s v="Sarah Wilson"/>
    <x v="7"/>
    <n v="2"/>
    <s v="It works fine, but there are better options available."/>
    <d v="2024-10-27T06:23:05"/>
    <s v="Oct-2024"/>
    <x v="0"/>
  </r>
  <r>
    <s v="FB1884"/>
    <s v="Mark Johnson"/>
    <x v="5"/>
    <n v="5"/>
    <s v="It works fine, but there are better options available."/>
    <d v="2025-06-20T06:23:05"/>
    <s v="Jun-2025"/>
    <x v="1"/>
  </r>
  <r>
    <s v="FB3175"/>
    <s v="Emily Davis"/>
    <x v="2"/>
    <n v="4"/>
    <s v="Great customer service, the product exceeded expectations."/>
    <d v="2024-10-28T06:23:05"/>
    <s v="Oct-2024"/>
    <x v="1"/>
  </r>
  <r>
    <s v="FB4656"/>
    <s v="Emily Davis"/>
    <x v="6"/>
    <n v="1"/>
    <s v="The quality could be better, but it's decent for the price."/>
    <d v="2024-09-07T06:23:05"/>
    <s v="Sep-2024"/>
    <x v="0"/>
  </r>
  <r>
    <s v="FB8445"/>
    <s v="Sophia Adams"/>
    <x v="8"/>
    <n v="1"/>
    <s v="Disappointed. The product arrived damaged."/>
    <d v="2025-03-03T06:23:05"/>
    <s v="Mar-2025"/>
    <x v="0"/>
  </r>
  <r>
    <s v="FB8586"/>
    <s v="David Lee"/>
    <x v="6"/>
    <n v="2"/>
    <s v="Not satisfied with the product. Would not recommend."/>
    <d v="2024-09-17T06:23:05"/>
    <s v="Sep-2024"/>
    <x v="0"/>
  </r>
  <r>
    <s v="FB3731"/>
    <s v="Michael Brown"/>
    <x v="1"/>
    <n v="4"/>
    <s v="It works fine, but there are better options available."/>
    <d v="2025-02-04T06:23:05"/>
    <s v="Feb-2025"/>
    <x v="1"/>
  </r>
  <r>
    <s v="FB2778"/>
    <s v="Laura Clark"/>
    <x v="7"/>
    <n v="2"/>
    <s v="Excellent product, really happy with the purchase!"/>
    <d v="2024-09-25T06:23:05"/>
    <s v="Sep-2024"/>
    <x v="0"/>
  </r>
  <r>
    <s v="FB4440"/>
    <s v="James Taylor"/>
    <x v="9"/>
    <n v="4"/>
    <s v="The product broke within a few weeks, not durable."/>
    <d v="2025-08-13T06:23:05"/>
    <s v="Aug-2025"/>
    <x v="1"/>
  </r>
  <r>
    <s v="FB7537"/>
    <s v="John Doe"/>
    <x v="4"/>
    <n v="2"/>
    <s v="Not satisfied with the product. Would not recommend."/>
    <d v="2025-03-30T06:23:05"/>
    <s v="Mar-2025"/>
    <x v="0"/>
  </r>
  <r>
    <s v="FB7599"/>
    <s v="David Lee"/>
    <x v="8"/>
    <n v="4"/>
    <s v="The product broke within a few weeks, not durable."/>
    <d v="2024-09-02T06:23:05"/>
    <s v="Sep-2024"/>
    <x v="1"/>
  </r>
  <r>
    <s v="FB1325"/>
    <s v="Sophia Adams"/>
    <x v="9"/>
    <n v="1"/>
    <s v="Disappointed. The product arrived damaged."/>
    <d v="2025-04-20T06:23:05"/>
    <s v="Apr-2025"/>
    <x v="0"/>
  </r>
  <r>
    <s v="FB3866"/>
    <s v="Michael Brown"/>
    <x v="6"/>
    <n v="4"/>
    <s v="Good product, but the delivery was late."/>
    <d v="2024-10-26T06:23:05"/>
    <s v="Oct-2024"/>
    <x v="1"/>
  </r>
  <r>
    <s v="FB3199"/>
    <s v="Laura Clark"/>
    <x v="8"/>
    <n v="5"/>
    <s v="Excellent product, really happy with the purchase!"/>
    <d v="2025-07-12T06:23:05"/>
    <s v="Jul-2025"/>
    <x v="1"/>
  </r>
  <r>
    <s v="FB6378"/>
    <s v="Mark Johnson"/>
    <x v="1"/>
    <n v="3"/>
    <s v="The product broke within a few weeks, not durable."/>
    <d v="2024-12-17T06:23:05"/>
    <s v="Dec-2024"/>
    <x v="2"/>
  </r>
  <r>
    <s v="FB1250"/>
    <s v="Mark Johnson"/>
    <x v="9"/>
    <n v="3"/>
    <s v="It works fine, but there are better options available."/>
    <d v="2024-11-12T06:23:05"/>
    <s v="Nov-2024"/>
    <x v="2"/>
  </r>
  <r>
    <s v="FB5708"/>
    <s v="Laura Clark"/>
    <x v="5"/>
    <n v="2"/>
    <s v="Great value for money, very reliable."/>
    <d v="2024-12-30T06:23:05"/>
    <s v="Dec-2024"/>
    <x v="0"/>
  </r>
  <r>
    <s v="FB5154"/>
    <s v="Michael Brown"/>
    <x v="8"/>
    <n v="4"/>
    <s v="Great customer service, the product exceeded expectations."/>
    <d v="2025-07-04T06:23:05"/>
    <s v="Jul-2025"/>
    <x v="1"/>
  </r>
  <r>
    <s v="FB1580"/>
    <s v="Mark Johnson"/>
    <x v="3"/>
    <n v="4"/>
    <s v="Excellent product, really happy with the purchase!"/>
    <d v="2025-01-22T06:23:05"/>
    <s v="Jan-2025"/>
    <x v="1"/>
  </r>
  <r>
    <s v="FB1373"/>
    <s v="Emily Davis"/>
    <x v="4"/>
    <n v="5"/>
    <s v="The quality could be better, but it's decent for the price."/>
    <d v="2024-12-02T06:23:05"/>
    <s v="Dec-2024"/>
    <x v="1"/>
  </r>
  <r>
    <s v="FB4606"/>
    <s v="James Taylor"/>
    <x v="4"/>
    <n v="3"/>
    <s v="It works fine, but there are better options available."/>
    <d v="2025-06-14T06:23:05"/>
    <s v="Jun-2025"/>
    <x v="2"/>
  </r>
  <r>
    <s v="FB3839"/>
    <s v="Sarah Wilson"/>
    <x v="5"/>
    <n v="1"/>
    <s v="Disappointed. The product arrived damaged."/>
    <d v="2025-06-13T06:23:05"/>
    <s v="Jun-2025"/>
    <x v="0"/>
  </r>
  <r>
    <s v="FB4439"/>
    <s v="Michael Brown"/>
    <x v="9"/>
    <n v="3"/>
    <s v="The product broke within a few weeks, not durable."/>
    <d v="2024-09-10T06:23:05"/>
    <s v="Sep-2024"/>
    <x v="2"/>
  </r>
  <r>
    <s v="FB7178"/>
    <s v="David Lee"/>
    <x v="2"/>
    <n v="5"/>
    <s v="The product broke within a few weeks, not durable."/>
    <d v="2025-03-25T06:23:05"/>
    <s v="Mar-2025"/>
    <x v="1"/>
  </r>
  <r>
    <s v="FB2691"/>
    <s v="Michael Brown"/>
    <x v="2"/>
    <n v="5"/>
    <s v="It works fine, but there are better options available."/>
    <d v="2025-04-02T06:23:05"/>
    <s v="Apr-2025"/>
    <x v="1"/>
  </r>
  <r>
    <s v="FB1405"/>
    <s v="Michael Brown"/>
    <x v="5"/>
    <n v="3"/>
    <s v="The product broke within a few weeks, not durable."/>
    <d v="2025-02-03T06:23:05"/>
    <s v="Feb-2025"/>
    <x v="2"/>
  </r>
  <r>
    <s v="FB6795"/>
    <s v="Sarah Wilson"/>
    <x v="7"/>
    <n v="4"/>
    <s v="It works fine, but there are better options available."/>
    <d v="2024-11-13T06:23:05"/>
    <s v="Nov-2024"/>
    <x v="1"/>
  </r>
  <r>
    <s v="FB4476"/>
    <s v="Emily Davis"/>
    <x v="9"/>
    <n v="3"/>
    <s v="The quality could be better, but it's decent for the price."/>
    <d v="2024-10-17T06:23:05"/>
    <s v="Oct-2024"/>
    <x v="2"/>
  </r>
  <r>
    <s v="FB2915"/>
    <s v="Laura Clark"/>
    <x v="4"/>
    <n v="3"/>
    <s v="The quality could be better, but it's decent for the price."/>
    <d v="2024-11-09T06:23:05"/>
    <s v="Nov-2024"/>
    <x v="2"/>
  </r>
  <r>
    <s v="FB9401"/>
    <s v="Laura Clark"/>
    <x v="5"/>
    <n v="4"/>
    <s v="It works fine, but there are better options available."/>
    <d v="2025-01-15T06:23:05"/>
    <s v="Jan-2025"/>
    <x v="1"/>
  </r>
  <r>
    <s v="FB1686"/>
    <s v="David Lee"/>
    <x v="4"/>
    <n v="2"/>
    <s v="Good product, but the delivery was late."/>
    <d v="2025-06-25T06:23:05"/>
    <s v="Jun-2025"/>
    <x v="0"/>
  </r>
  <r>
    <s v="FB6298"/>
    <s v="David Lee"/>
    <x v="6"/>
    <n v="3"/>
    <s v="The product broke within a few weeks, not durable."/>
    <d v="2025-02-14T06:23:05"/>
    <s v="Feb-2025"/>
    <x v="2"/>
  </r>
  <r>
    <s v="FB7984"/>
    <s v="Jane Smith"/>
    <x v="0"/>
    <n v="4"/>
    <s v="The product broke within a few weeks, not durable."/>
    <d v="2025-05-27T06:23:05"/>
    <s v="May-2025"/>
    <x v="1"/>
  </r>
  <r>
    <s v="FB1235"/>
    <s v="Mark Johnson"/>
    <x v="7"/>
    <n v="1"/>
    <s v="Good product, but the delivery was late."/>
    <d v="2024-08-27T06:23:05"/>
    <s v="Aug-2024"/>
    <x v="0"/>
  </r>
  <r>
    <s v="FB1568"/>
    <s v="Laura Clark"/>
    <x v="8"/>
    <n v="5"/>
    <s v="It works fine, but there are better options available."/>
    <d v="2025-01-14T06:23:05"/>
    <s v="Jan-2025"/>
    <x v="1"/>
  </r>
  <r>
    <s v="FB6059"/>
    <s v="Laura Clark"/>
    <x v="4"/>
    <n v="3"/>
    <s v="Perfect for my needs, exactly what I was looking for."/>
    <d v="2025-05-20T06:23:05"/>
    <s v="May-2025"/>
    <x v="2"/>
  </r>
  <r>
    <s v="FB5518"/>
    <s v="Sarah Wilson"/>
    <x v="7"/>
    <n v="1"/>
    <s v="The quality could be better, but it's decent for the price."/>
    <d v="2025-02-01T06:23:05"/>
    <s v="Feb-2025"/>
    <x v="0"/>
  </r>
  <r>
    <s v="FB3434"/>
    <s v="John Doe"/>
    <x v="3"/>
    <n v="2"/>
    <s v="Good product, but the delivery was late."/>
    <d v="2025-02-26T06:23:05"/>
    <s v="Feb-2025"/>
    <x v="0"/>
  </r>
  <r>
    <s v="FB3439"/>
    <s v="Sophia Adams"/>
    <x v="8"/>
    <n v="4"/>
    <s v="It works fine, but there are better options available."/>
    <d v="2024-08-28T06:23:05"/>
    <s v="Aug-2024"/>
    <x v="1"/>
  </r>
  <r>
    <s v="FB7271"/>
    <s v="Emily Davis"/>
    <x v="0"/>
    <n v="1"/>
    <s v="The product broke within a few weeks, not durable."/>
    <d v="2024-08-22T06:23:05"/>
    <s v="Aug-2024"/>
    <x v="0"/>
  </r>
  <r>
    <s v="FB1594"/>
    <s v="Michael Brown"/>
    <x v="3"/>
    <n v="1"/>
    <s v="Great customer service, the product exceeded expectations."/>
    <d v="2024-11-11T06:23:05"/>
    <s v="Nov-2024"/>
    <x v="0"/>
  </r>
  <r>
    <s v="FB1795"/>
    <s v="Jane Smith"/>
    <x v="7"/>
    <n v="1"/>
    <s v="Great value for money, very reliable."/>
    <d v="2025-04-14T06:23:05"/>
    <s v="Apr-2025"/>
    <x v="0"/>
  </r>
  <r>
    <s v="FB8757"/>
    <s v="Emily Davis"/>
    <x v="4"/>
    <n v="4"/>
    <s v="Disappointed. The product arrived damaged."/>
    <d v="2024-08-31T06:23:05"/>
    <s v="Aug-2024"/>
    <x v="1"/>
  </r>
  <r>
    <s v="FB8521"/>
    <s v="Emily Davis"/>
    <x v="3"/>
    <n v="5"/>
    <s v="The product broke within a few weeks, not durable."/>
    <d v="2024-09-05T06:23:05"/>
    <s v="Sep-2024"/>
    <x v="1"/>
  </r>
  <r>
    <s v="FB2181"/>
    <s v="John Doe"/>
    <x v="3"/>
    <n v="1"/>
    <s v="Great value for money, very reliable."/>
    <d v="2025-07-26T06:23:05"/>
    <s v="Jul-2025"/>
    <x v="0"/>
  </r>
  <r>
    <s v="FB9891"/>
    <s v="Michael Brown"/>
    <x v="7"/>
    <n v="1"/>
    <s v="Great customer service, the product exceeded expectations."/>
    <d v="2025-03-03T06:23:05"/>
    <s v="Mar-2025"/>
    <x v="0"/>
  </r>
  <r>
    <s v="FB4216"/>
    <s v="Michael Brown"/>
    <x v="7"/>
    <n v="4"/>
    <s v="Good product, but the delivery was late."/>
    <d v="2025-03-16T06:23:05"/>
    <s v="Mar-2025"/>
    <x v="1"/>
  </r>
  <r>
    <s v="FB1520"/>
    <s v="Jane Smith"/>
    <x v="6"/>
    <n v="1"/>
    <s v="Not satisfied with the product. Would not recommend."/>
    <d v="2024-11-29T06:23:05"/>
    <s v="Nov-2024"/>
    <x v="0"/>
  </r>
  <r>
    <s v="FB8832"/>
    <s v="Sarah Wilson"/>
    <x v="5"/>
    <n v="3"/>
    <s v="The product broke within a few weeks, not durable."/>
    <d v="2024-10-18T06:23:05"/>
    <s v="Oct-2024"/>
    <x v="2"/>
  </r>
  <r>
    <s v="FB9935"/>
    <s v="Michael Brown"/>
    <x v="3"/>
    <n v="2"/>
    <s v="Good product, but the delivery was late."/>
    <d v="2025-03-31T06:23:05"/>
    <s v="Mar-2025"/>
    <x v="0"/>
  </r>
  <r>
    <s v="FB8872"/>
    <s v="Emily Davis"/>
    <x v="9"/>
    <n v="5"/>
    <s v="Not satisfied with the product. Would not recommend."/>
    <d v="2025-04-22T06:23:05"/>
    <s v="Apr-2025"/>
    <x v="1"/>
  </r>
  <r>
    <s v="FB4565"/>
    <s v="Michael Brown"/>
    <x v="4"/>
    <n v="5"/>
    <s v="Great value for money, very reliable."/>
    <d v="2025-01-25T06:23:05"/>
    <s v="Jan-2025"/>
    <x v="1"/>
  </r>
  <r>
    <s v="FB7348"/>
    <s v="Sarah Wilson"/>
    <x v="8"/>
    <n v="2"/>
    <s v="The quality could be better, but it's decent for the price."/>
    <d v="2024-12-20T06:23:05"/>
    <s v="Dec-2024"/>
    <x v="0"/>
  </r>
  <r>
    <s v="FB6890"/>
    <s v="James Taylor"/>
    <x v="3"/>
    <n v="4"/>
    <s v="Excellent product, really happy with the purchase!"/>
    <d v="2024-10-20T06:23:05"/>
    <s v="Oct-2024"/>
    <x v="1"/>
  </r>
  <r>
    <s v="FB4613"/>
    <s v="Sarah Wilson"/>
    <x v="3"/>
    <n v="3"/>
    <s v="Disappointed. The product arrived damaged."/>
    <d v="2024-11-10T06:23:05"/>
    <s v="Nov-2024"/>
    <x v="2"/>
  </r>
  <r>
    <s v="FB4102"/>
    <s v="Sarah Wilson"/>
    <x v="2"/>
    <n v="3"/>
    <s v="The quality could be better, but it's decent for the price."/>
    <d v="2025-04-06T06:23:05"/>
    <s v="Apr-2025"/>
    <x v="2"/>
  </r>
  <r>
    <s v="FB9807"/>
    <s v="Sarah Wilson"/>
    <x v="7"/>
    <n v="4"/>
    <s v="It works fine, but there are better options available."/>
    <d v="2025-01-26T06:23:05"/>
    <s v="Jan-2025"/>
    <x v="1"/>
  </r>
  <r>
    <s v="FB9277"/>
    <s v="Michael Brown"/>
    <x v="2"/>
    <n v="3"/>
    <s v="Perfect for my needs, exactly what I was looking for."/>
    <d v="2025-03-09T06:23:05"/>
    <s v="Mar-2025"/>
    <x v="2"/>
  </r>
  <r>
    <s v="FB3528"/>
    <s v="Laura Clark"/>
    <x v="4"/>
    <n v="2"/>
    <s v="Not satisfied with the product. Would not recommend."/>
    <d v="2025-04-13T06:23:05"/>
    <s v="Apr-2025"/>
    <x v="0"/>
  </r>
  <r>
    <s v="FB2350"/>
    <s v="Michael Brown"/>
    <x v="7"/>
    <n v="3"/>
    <s v="Perfect for my needs, exactly what I was looking for."/>
    <d v="2025-06-30T06:23:05"/>
    <s v="Jun-2025"/>
    <x v="2"/>
  </r>
  <r>
    <s v="FB5403"/>
    <s v="David Lee"/>
    <x v="7"/>
    <n v="1"/>
    <s v="Good product, but the delivery was late."/>
    <d v="2025-01-24T06:23:05"/>
    <s v="Jan-2025"/>
    <x v="0"/>
  </r>
  <r>
    <s v="FB9224"/>
    <s v="Michael Brown"/>
    <x v="0"/>
    <n v="4"/>
    <s v="The product broke within a few weeks, not durable."/>
    <d v="2025-05-31T06:23:05"/>
    <s v="May-2025"/>
    <x v="1"/>
  </r>
  <r>
    <s v="FB4050"/>
    <s v="Sophia Adams"/>
    <x v="2"/>
    <n v="5"/>
    <s v="Great customer service, the product exceeded expectations."/>
    <d v="2025-07-31T06:23:05"/>
    <s v="Jul-2025"/>
    <x v="1"/>
  </r>
  <r>
    <s v="FB4702"/>
    <s v="Laura Clark"/>
    <x v="7"/>
    <n v="4"/>
    <s v="Great value for money, very reliable."/>
    <d v="2025-06-16T06:23:05"/>
    <s v="Jun-2025"/>
    <x v="1"/>
  </r>
  <r>
    <s v="FB4089"/>
    <s v="Sarah Wilson"/>
    <x v="6"/>
    <n v="1"/>
    <s v="It works fine, but there are better options available."/>
    <d v="2025-05-16T06:23:05"/>
    <s v="May-2025"/>
    <x v="0"/>
  </r>
  <r>
    <s v="FB1336"/>
    <s v="Michael Brown"/>
    <x v="2"/>
    <n v="4"/>
    <s v="Great customer service, the product exceeded expectations."/>
    <d v="2024-09-27T06:23:05"/>
    <s v="Sep-2024"/>
    <x v="1"/>
  </r>
  <r>
    <s v="FB9652"/>
    <s v="Sarah Wilson"/>
    <x v="9"/>
    <n v="1"/>
    <s v="Great value for money, very reliable."/>
    <d v="2024-08-22T06:23:05"/>
    <s v="Aug-2024"/>
    <x v="0"/>
  </r>
  <r>
    <s v="FB5380"/>
    <s v="Mark Johnson"/>
    <x v="0"/>
    <n v="4"/>
    <s v="Excellent product, really happy with the purchase!"/>
    <d v="2024-11-24T06:23:05"/>
    <s v="Nov-2024"/>
    <x v="1"/>
  </r>
  <r>
    <s v="FB9970"/>
    <s v="Mark Johnson"/>
    <x v="4"/>
    <n v="1"/>
    <s v="Great customer service, the product exceeded expectations."/>
    <d v="2025-07-07T06:23:05"/>
    <s v="Jul-2025"/>
    <x v="0"/>
  </r>
  <r>
    <s v="FB9346"/>
    <s v="Jane Smith"/>
    <x v="1"/>
    <n v="3"/>
    <s v="It works fine, but there are better options available."/>
    <d v="2025-04-01T06:23:05"/>
    <s v="Apr-2025"/>
    <x v="2"/>
  </r>
  <r>
    <s v="FB4193"/>
    <s v="James Taylor"/>
    <x v="3"/>
    <n v="2"/>
    <s v="The quality could be better, but it's decent for the price."/>
    <d v="2024-11-04T06:23:05"/>
    <s v="Nov-2024"/>
    <x v="0"/>
  </r>
  <r>
    <s v="FB1286"/>
    <s v="Jane Smith"/>
    <x v="8"/>
    <n v="3"/>
    <s v="The product broke within a few weeks, not durable."/>
    <d v="2024-11-19T06:23:05"/>
    <s v="Nov-2024"/>
    <x v="2"/>
  </r>
  <r>
    <s v="FB5337"/>
    <s v="John Doe"/>
    <x v="3"/>
    <n v="5"/>
    <s v="The quality could be better, but it's decent for the price."/>
    <d v="2025-07-31T06:23:05"/>
    <s v="Jul-2025"/>
    <x v="1"/>
  </r>
  <r>
    <s v="FB3355"/>
    <s v="Jane Smith"/>
    <x v="5"/>
    <n v="3"/>
    <s v="Not satisfied with the product. Would not recommend."/>
    <d v="2025-01-26T06:23:05"/>
    <s v="Jan-2025"/>
    <x v="2"/>
  </r>
  <r>
    <s v="FB3022"/>
    <s v="David Lee"/>
    <x v="3"/>
    <n v="2"/>
    <s v="Good product, but the delivery was late."/>
    <d v="2025-01-04T06:23:05"/>
    <s v="Jan-2025"/>
    <x v="0"/>
  </r>
  <r>
    <s v="FB7873"/>
    <s v="Emily Davis"/>
    <x v="7"/>
    <n v="3"/>
    <s v="Excellent product, really happy with the purchase!"/>
    <d v="2024-10-24T06:23:05"/>
    <s v="Oct-2024"/>
    <x v="2"/>
  </r>
  <r>
    <s v="FB8489"/>
    <s v="Sophia Adams"/>
    <x v="5"/>
    <n v="1"/>
    <s v="Perfect for my needs, exactly what I was looking for."/>
    <d v="2024-10-11T06:23:05"/>
    <s v="Oct-2024"/>
    <x v="0"/>
  </r>
  <r>
    <s v="FB1887"/>
    <s v="Mark Johnson"/>
    <x v="3"/>
    <n v="4"/>
    <s v="Perfect for my needs, exactly what I was looking for."/>
    <d v="2025-07-09T06:23:05"/>
    <s v="Jul-2025"/>
    <x v="1"/>
  </r>
  <r>
    <s v="FB8893"/>
    <s v="Laura Clark"/>
    <x v="0"/>
    <n v="2"/>
    <s v="Disappointed. The product arrived damaged."/>
    <d v="2024-09-26T06:23:05"/>
    <s v="Sep-2024"/>
    <x v="0"/>
  </r>
  <r>
    <s v="FB6054"/>
    <s v="Laura Clark"/>
    <x v="8"/>
    <n v="2"/>
    <s v="The quality could be better, but it's decent for the price."/>
    <d v="2024-11-06T06:23:05"/>
    <s v="Nov-2024"/>
    <x v="0"/>
  </r>
  <r>
    <s v="FB3363"/>
    <s v="Emily Davis"/>
    <x v="6"/>
    <n v="2"/>
    <s v="Excellent product, really happy with the purchase!"/>
    <d v="2025-04-03T06:23:05"/>
    <s v="Apr-2025"/>
    <x v="0"/>
  </r>
  <r>
    <s v="FB7750"/>
    <s v="Emily Davis"/>
    <x v="4"/>
    <n v="2"/>
    <s v="It works fine, but there are better options available."/>
    <d v="2025-05-13T06:23:05"/>
    <s v="May-2025"/>
    <x v="0"/>
  </r>
  <r>
    <s v="FB9445"/>
    <s v="Michael Brown"/>
    <x v="3"/>
    <n v="5"/>
    <s v="Perfect for my needs, exactly what I was looking for."/>
    <d v="2024-11-05T06:23:05"/>
    <s v="Nov-2024"/>
    <x v="1"/>
  </r>
  <r>
    <s v="FB6215"/>
    <s v="Sarah Wilson"/>
    <x v="8"/>
    <n v="2"/>
    <s v="It works fine, but there are better options available."/>
    <d v="2025-01-11T06:23:05"/>
    <s v="Jan-2025"/>
    <x v="0"/>
  </r>
  <r>
    <s v="FB3920"/>
    <s v="Sophia Adams"/>
    <x v="3"/>
    <n v="3"/>
    <s v="Excellent product, really happy with the purchase!"/>
    <d v="2025-05-30T06:23:05"/>
    <s v="May-2025"/>
    <x v="2"/>
  </r>
  <r>
    <s v="FB9227"/>
    <s v="Michael Brown"/>
    <x v="0"/>
    <n v="4"/>
    <s v="Not satisfied with the product. Would not recommend."/>
    <d v="2025-04-22T06:23:05"/>
    <s v="Apr-2025"/>
    <x v="1"/>
  </r>
  <r>
    <s v="FB3545"/>
    <s v="Sarah Wilson"/>
    <x v="4"/>
    <n v="3"/>
    <s v="Not satisfied with the product. Would not recommend."/>
    <d v="2024-09-03T06:23:05"/>
    <s v="Sep-2024"/>
    <x v="2"/>
  </r>
  <r>
    <s v="FB9602"/>
    <s v="Jane Smith"/>
    <x v="7"/>
    <n v="1"/>
    <s v="Not satisfied with the product. Would not recommend."/>
    <d v="2024-09-10T06:23:05"/>
    <s v="Sep-2024"/>
    <x v="0"/>
  </r>
  <r>
    <s v="FB9589"/>
    <s v="David Lee"/>
    <x v="8"/>
    <n v="2"/>
    <s v="Disappointed. The product arrived damaged."/>
    <d v="2025-08-09T06:23:05"/>
    <s v="Aug-2025"/>
    <x v="0"/>
  </r>
  <r>
    <s v="FB6887"/>
    <s v="John Doe"/>
    <x v="4"/>
    <n v="2"/>
    <s v="Excellent product, really happy with the purchase!"/>
    <d v="2025-07-17T06:23:05"/>
    <s v="Jul-2025"/>
    <x v="0"/>
  </r>
  <r>
    <s v="FB1908"/>
    <s v="David Lee"/>
    <x v="2"/>
    <n v="4"/>
    <s v="Great value for money, very reliable."/>
    <d v="2025-04-15T06:23:05"/>
    <s v="Apr-2025"/>
    <x v="1"/>
  </r>
  <r>
    <s v="FB2912"/>
    <s v="Jane Smith"/>
    <x v="9"/>
    <n v="3"/>
    <s v="Excellent product, really happy with the purchase!"/>
    <d v="2025-07-20T06:23:05"/>
    <s v="Jul-2025"/>
    <x v="2"/>
  </r>
  <r>
    <s v="FB2601"/>
    <s v="Sarah Wilson"/>
    <x v="4"/>
    <n v="2"/>
    <s v="It works fine, but there are better options available."/>
    <d v="2025-08-03T06:23:05"/>
    <s v="Aug-2025"/>
    <x v="0"/>
  </r>
  <r>
    <s v="FB3091"/>
    <s v="James Taylor"/>
    <x v="0"/>
    <n v="2"/>
    <s v="Disappointed. The product arrived damaged."/>
    <d v="2024-09-09T06:23:05"/>
    <s v="Sep-2024"/>
    <x v="0"/>
  </r>
  <r>
    <s v="FB5591"/>
    <s v="Mark Johnson"/>
    <x v="7"/>
    <n v="2"/>
    <s v="The quality could be better, but it's decent for the price."/>
    <d v="2025-02-04T06:23:05"/>
    <s v="Feb-2025"/>
    <x v="0"/>
  </r>
  <r>
    <s v="FB3658"/>
    <s v="Sarah Wilson"/>
    <x v="9"/>
    <n v="1"/>
    <s v="It works fine, but there are better options available."/>
    <d v="2024-08-31T06:23:05"/>
    <s v="Aug-2024"/>
    <x v="0"/>
  </r>
  <r>
    <s v="FB7600"/>
    <s v="Laura Clark"/>
    <x v="9"/>
    <n v="1"/>
    <s v="Great value for money, very reliable."/>
    <d v="2025-02-25T06:23:05"/>
    <s v="Feb-2025"/>
    <x v="0"/>
  </r>
  <r>
    <s v="FB1182"/>
    <s v="Mark Johnson"/>
    <x v="9"/>
    <n v="2"/>
    <s v="Disappointed. The product arrived damaged."/>
    <d v="2025-05-29T06:23:05"/>
    <s v="May-2025"/>
    <x v="0"/>
  </r>
  <r>
    <s v="FB6650"/>
    <s v="Sophia Adams"/>
    <x v="3"/>
    <n v="1"/>
    <s v="The quality could be better, but it's decent for the price."/>
    <d v="2024-12-03T06:23:05"/>
    <s v="Dec-2024"/>
    <x v="0"/>
  </r>
  <r>
    <s v="FB6155"/>
    <s v="Sarah Wilson"/>
    <x v="8"/>
    <n v="1"/>
    <s v="Disappointed. The product arrived damaged."/>
    <d v="2025-01-24T06:23:05"/>
    <s v="Jan-2025"/>
    <x v="0"/>
  </r>
  <r>
    <s v="FB9468"/>
    <s v="Emily Davis"/>
    <x v="1"/>
    <n v="5"/>
    <s v="Good product, but the delivery was late."/>
    <d v="2025-06-13T06:23:05"/>
    <s v="Jun-2025"/>
    <x v="1"/>
  </r>
  <r>
    <s v="FB4918"/>
    <s v="John Doe"/>
    <x v="5"/>
    <n v="2"/>
    <s v="Good product, but the delivery was late."/>
    <d v="2024-11-03T06:23:05"/>
    <s v="Nov-2024"/>
    <x v="0"/>
  </r>
  <r>
    <s v="FB7431"/>
    <s v="Sarah Wilson"/>
    <x v="6"/>
    <n v="4"/>
    <s v="The product broke within a few weeks, not durable."/>
    <d v="2024-08-18T06:23:05"/>
    <s v="Aug-2024"/>
    <x v="1"/>
  </r>
  <r>
    <s v="FB6588"/>
    <s v="Mark Johnson"/>
    <x v="9"/>
    <n v="4"/>
    <s v="Perfect for my needs, exactly what I was looking for."/>
    <d v="2024-11-29T06:23:05"/>
    <s v="Nov-2024"/>
    <x v="1"/>
  </r>
  <r>
    <s v="FB4992"/>
    <s v="Sophia Adams"/>
    <x v="8"/>
    <n v="3"/>
    <s v="Not satisfied with the product. Would not recommend."/>
    <d v="2025-04-27T06:23:05"/>
    <s v="Apr-2025"/>
    <x v="2"/>
  </r>
  <r>
    <s v="FB7720"/>
    <s v="Jane Smith"/>
    <x v="0"/>
    <n v="4"/>
    <s v="Great customer service, the product exceeded expectations."/>
    <d v="2025-08-13T06:23:05"/>
    <s v="Aug-2025"/>
    <x v="1"/>
  </r>
  <r>
    <s v="FB5491"/>
    <s v="Emily Davis"/>
    <x v="9"/>
    <n v="5"/>
    <s v="Great customer service, the product exceeded expectations."/>
    <d v="2024-09-30T06:23:05"/>
    <s v="Sep-2024"/>
    <x v="1"/>
  </r>
  <r>
    <s v="FB8586"/>
    <s v="Jane Smith"/>
    <x v="0"/>
    <n v="4"/>
    <s v="The quality could be better, but it's decent for the price."/>
    <d v="2025-04-24T06:23:05"/>
    <s v="Apr-2025"/>
    <x v="1"/>
  </r>
  <r>
    <s v="FB1952"/>
    <s v="John Doe"/>
    <x v="4"/>
    <n v="5"/>
    <s v="The product broke within a few weeks, not durable."/>
    <d v="2024-09-14T06:23:05"/>
    <s v="Sep-2024"/>
    <x v="1"/>
  </r>
  <r>
    <s v="FB1841"/>
    <s v="Mark Johnson"/>
    <x v="7"/>
    <n v="4"/>
    <s v="Excellent product, really happy with the purchase!"/>
    <d v="2025-08-05T06:23:05"/>
    <s v="Aug-2025"/>
    <x v="1"/>
  </r>
  <r>
    <s v="FB3592"/>
    <s v="Sophia Adams"/>
    <x v="6"/>
    <n v="5"/>
    <s v="Perfect for my needs, exactly what I was looking for."/>
    <d v="2025-06-05T06:23:05"/>
    <s v="Jun-2025"/>
    <x v="1"/>
  </r>
  <r>
    <s v="FB3239"/>
    <s v="James Taylor"/>
    <x v="5"/>
    <n v="2"/>
    <s v="It works fine, but there are better options available."/>
    <d v="2024-10-07T06:23:05"/>
    <s v="Oct-2024"/>
    <x v="0"/>
  </r>
  <r>
    <s v="FB7307"/>
    <s v="Mark Johnson"/>
    <x v="7"/>
    <n v="4"/>
    <s v="The quality could be better, but it's decent for the price."/>
    <d v="2024-12-16T06:23:05"/>
    <s v="Dec-2024"/>
    <x v="1"/>
  </r>
  <r>
    <s v="FB9983"/>
    <s v="Michael Brown"/>
    <x v="9"/>
    <n v="1"/>
    <s v="The product broke within a few weeks, not durable."/>
    <d v="2024-12-26T06:23:05"/>
    <s v="Dec-2024"/>
    <x v="0"/>
  </r>
  <r>
    <s v="FB1291"/>
    <s v="David Lee"/>
    <x v="4"/>
    <n v="5"/>
    <s v="Good product, but the delivery was late."/>
    <d v="2024-12-16T06:23:05"/>
    <s v="Dec-2024"/>
    <x v="1"/>
  </r>
  <r>
    <s v="FB6162"/>
    <s v="David Lee"/>
    <x v="9"/>
    <n v="4"/>
    <s v="Not satisfied with the product. Would not recommend."/>
    <d v="2024-09-29T06:23:05"/>
    <s v="Sep-2024"/>
    <x v="1"/>
  </r>
  <r>
    <s v="FB3866"/>
    <s v="Mark Johnson"/>
    <x v="9"/>
    <n v="1"/>
    <s v="The product broke within a few weeks, not durable."/>
    <d v="2025-02-28T06:23:05"/>
    <s v="Feb-2025"/>
    <x v="0"/>
  </r>
  <r>
    <s v="FB5912"/>
    <s v="James Taylor"/>
    <x v="7"/>
    <n v="5"/>
    <s v="Not satisfied with the product. Would not recommend."/>
    <d v="2025-07-08T06:23:05"/>
    <s v="Jul-2025"/>
    <x v="1"/>
  </r>
  <r>
    <s v="FB4108"/>
    <s v="Emily Davis"/>
    <x v="3"/>
    <n v="3"/>
    <s v="Great customer service, the product exceeded expectations."/>
    <d v="2024-12-21T06:23:05"/>
    <s v="Dec-2024"/>
    <x v="2"/>
  </r>
  <r>
    <s v="FB8897"/>
    <s v="Michael Brown"/>
    <x v="7"/>
    <n v="3"/>
    <s v="The product broke within a few weeks, not durable."/>
    <d v="2025-05-21T06:23:05"/>
    <s v="May-2025"/>
    <x v="2"/>
  </r>
  <r>
    <s v="FB1216"/>
    <s v="David Lee"/>
    <x v="7"/>
    <n v="2"/>
    <s v="The quality could be better, but it's decent for the price."/>
    <d v="2025-05-14T06:23:05"/>
    <s v="May-2025"/>
    <x v="0"/>
  </r>
  <r>
    <s v="FB9735"/>
    <s v="Michael Brown"/>
    <x v="3"/>
    <n v="5"/>
    <s v="Not satisfied with the product. Would not recommend."/>
    <d v="2024-11-23T06:23:05"/>
    <s v="Nov-2024"/>
    <x v="1"/>
  </r>
  <r>
    <s v="FB2097"/>
    <s v="John Doe"/>
    <x v="5"/>
    <n v="3"/>
    <s v="It works fine, but there are better options available."/>
    <d v="2025-05-07T06:23:05"/>
    <s v="May-2025"/>
    <x v="2"/>
  </r>
  <r>
    <s v="FB3614"/>
    <s v="Laura Clark"/>
    <x v="1"/>
    <n v="3"/>
    <s v="Great customer service, the product exceeded expectations."/>
    <d v="2024-12-26T06:23:05"/>
    <s v="Dec-2024"/>
    <x v="2"/>
  </r>
  <r>
    <s v="FB1142"/>
    <s v="Jane Smith"/>
    <x v="1"/>
    <n v="4"/>
    <s v="The product broke within a few weeks, not durable."/>
    <d v="2024-09-04T06:23:05"/>
    <s v="Sep-2024"/>
    <x v="1"/>
  </r>
  <r>
    <s v="FB9891"/>
    <s v="Sophia Adams"/>
    <x v="8"/>
    <n v="4"/>
    <s v="The product broke within a few weeks, not durable."/>
    <d v="2025-03-19T06:23:05"/>
    <s v="Mar-2025"/>
    <x v="1"/>
  </r>
  <r>
    <s v="FB7316"/>
    <s v="Sophia Adams"/>
    <x v="5"/>
    <n v="5"/>
    <s v="Great customer service, the product exceeded expectations."/>
    <d v="2025-05-03T06:23:05"/>
    <s v="May-2025"/>
    <x v="1"/>
  </r>
  <r>
    <s v="FB7461"/>
    <s v="Michael Brown"/>
    <x v="8"/>
    <n v="5"/>
    <s v="Good product, but the delivery was late."/>
    <d v="2024-12-09T06:23:05"/>
    <s v="Dec-2024"/>
    <x v="1"/>
  </r>
  <r>
    <s v="FB2672"/>
    <s v="Michael Brown"/>
    <x v="7"/>
    <n v="4"/>
    <s v="Great value for money, very reliable."/>
    <d v="2025-06-05T06:23:05"/>
    <s v="Jun-2025"/>
    <x v="1"/>
  </r>
  <r>
    <s v="FB9924"/>
    <s v="Mark Johnson"/>
    <x v="2"/>
    <n v="5"/>
    <s v="Perfect for my needs, exactly what I was looking for."/>
    <d v="2025-05-25T06:23:05"/>
    <s v="May-2025"/>
    <x v="1"/>
  </r>
  <r>
    <s v="FB4634"/>
    <s v="Emily Davis"/>
    <x v="0"/>
    <n v="5"/>
    <s v="Excellent product, really happy with the purchase!"/>
    <d v="2024-10-20T06:23:05"/>
    <s v="Oct-2024"/>
    <x v="1"/>
  </r>
  <r>
    <s v="FB7016"/>
    <s v="Emily Davis"/>
    <x v="0"/>
    <n v="1"/>
    <s v="Perfect for my needs, exactly what I was looking for."/>
    <d v="2025-01-11T06:23:05"/>
    <s v="Jan-2025"/>
    <x v="0"/>
  </r>
  <r>
    <s v="FB4785"/>
    <s v="Emily Davis"/>
    <x v="0"/>
    <n v="2"/>
    <s v="The quality could be better, but it's decent for the price."/>
    <d v="2024-08-21T06:23:05"/>
    <s v="Aug-2024"/>
    <x v="0"/>
  </r>
  <r>
    <s v="FB5305"/>
    <s v="Jane Smith"/>
    <x v="6"/>
    <n v="2"/>
    <s v="It works fine, but there are better options available."/>
    <d v="2024-09-19T06:23:05"/>
    <s v="Sep-2024"/>
    <x v="0"/>
  </r>
  <r>
    <s v="FB8495"/>
    <s v="Jane Smith"/>
    <x v="2"/>
    <n v="3"/>
    <s v="It works fine, but there are better options available."/>
    <d v="2025-05-13T06:23:05"/>
    <s v="May-2025"/>
    <x v="2"/>
  </r>
  <r>
    <s v="FB4137"/>
    <s v="Emily Davis"/>
    <x v="4"/>
    <n v="2"/>
    <s v="The quality could be better, but it's decent for the price."/>
    <d v="2025-04-19T06:23:05"/>
    <s v="Apr-2025"/>
    <x v="0"/>
  </r>
  <r>
    <s v="FB1327"/>
    <s v="Mark Johnson"/>
    <x v="1"/>
    <n v="1"/>
    <s v="Great customer service, the product exceeded expectations."/>
    <d v="2024-11-17T06:23:05"/>
    <s v="Nov-2024"/>
    <x v="0"/>
  </r>
  <r>
    <s v="FB5327"/>
    <s v="David Lee"/>
    <x v="3"/>
    <n v="2"/>
    <s v="The product broke within a few weeks, not durable."/>
    <d v="2024-12-29T06:23:05"/>
    <s v="Dec-2024"/>
    <x v="0"/>
  </r>
  <r>
    <s v="FB6025"/>
    <s v="Emily Davis"/>
    <x v="7"/>
    <n v="2"/>
    <s v="Good product, but the delivery was late."/>
    <d v="2024-09-15T06:23:05"/>
    <s v="Sep-2024"/>
    <x v="0"/>
  </r>
  <r>
    <s v="FB6858"/>
    <s v="James Taylor"/>
    <x v="7"/>
    <n v="5"/>
    <s v="Great customer service, the product exceeded expectations."/>
    <d v="2025-03-27T06:23:05"/>
    <s v="Mar-2025"/>
    <x v="1"/>
  </r>
  <r>
    <s v="FB8143"/>
    <s v="Jane Smith"/>
    <x v="7"/>
    <n v="1"/>
    <s v="It works fine, but there are better options available."/>
    <d v="2025-04-10T06:23:05"/>
    <s v="Apr-2025"/>
    <x v="0"/>
  </r>
  <r>
    <s v="FB2680"/>
    <s v="James Taylor"/>
    <x v="0"/>
    <n v="3"/>
    <s v="The product broke within a few weeks, not durable."/>
    <d v="2024-09-18T06:23:05"/>
    <s v="Sep-2024"/>
    <x v="2"/>
  </r>
  <r>
    <s v="FB3800"/>
    <s v="Michael Brown"/>
    <x v="2"/>
    <n v="3"/>
    <s v="Excellent product, really happy with the purchase!"/>
    <d v="2024-10-30T06:23:05"/>
    <s v="Oct-2024"/>
    <x v="2"/>
  </r>
  <r>
    <s v="FB1028"/>
    <s v="Sophia Adams"/>
    <x v="8"/>
    <n v="2"/>
    <s v="Great customer service, the product exceeded expectations."/>
    <d v="2025-07-10T06:23:05"/>
    <s v="Jul-2025"/>
    <x v="0"/>
  </r>
  <r>
    <s v="FB1603"/>
    <s v="Sarah Wilson"/>
    <x v="9"/>
    <n v="5"/>
    <s v="Good product, but the delivery was late."/>
    <d v="2024-11-18T06:23:05"/>
    <s v="Nov-2024"/>
    <x v="1"/>
  </r>
  <r>
    <s v="FB1978"/>
    <s v="John Doe"/>
    <x v="0"/>
    <n v="2"/>
    <s v="The quality could be better, but it's decent for the price."/>
    <d v="2024-10-21T06:23:05"/>
    <s v="Oct-2024"/>
    <x v="0"/>
  </r>
  <r>
    <s v="FB4137"/>
    <s v="Michael Brown"/>
    <x v="8"/>
    <n v="1"/>
    <s v="The product broke within a few weeks, not durable."/>
    <d v="2025-01-27T06:23:05"/>
    <s v="Jan-2025"/>
    <x v="0"/>
  </r>
  <r>
    <s v="FB6832"/>
    <s v="James Taylor"/>
    <x v="7"/>
    <n v="3"/>
    <s v="It works fine, but there are better options available."/>
    <d v="2025-04-25T06:23:05"/>
    <s v="Apr-2025"/>
    <x v="2"/>
  </r>
  <r>
    <s v="FB9357"/>
    <s v="Laura Clark"/>
    <x v="5"/>
    <n v="2"/>
    <s v="Not satisfied with the product. Would not recommend."/>
    <d v="2025-04-05T06:23:05"/>
    <s v="Apr-2025"/>
    <x v="0"/>
  </r>
  <r>
    <s v="FB2581"/>
    <s v="Jane Smith"/>
    <x v="2"/>
    <n v="3"/>
    <s v="The quality could be better, but it's decent for the price."/>
    <d v="2024-12-11T06:23:05"/>
    <s v="Dec-2024"/>
    <x v="2"/>
  </r>
  <r>
    <s v="FB7922"/>
    <s v="Jane Smith"/>
    <x v="4"/>
    <n v="1"/>
    <s v="Disappointed. The product arrived damaged."/>
    <d v="2025-06-04T06:23:05"/>
    <s v="Jun-2025"/>
    <x v="0"/>
  </r>
  <r>
    <s v="FB5557"/>
    <s v="Emily Davis"/>
    <x v="9"/>
    <n v="3"/>
    <s v="Good product, but the delivery was late."/>
    <d v="2025-06-01T06:23:05"/>
    <s v="Jun-2025"/>
    <x v="2"/>
  </r>
  <r>
    <s v="FB7059"/>
    <s v="James Taylor"/>
    <x v="5"/>
    <n v="1"/>
    <s v="Not satisfied with the product. Would not recommend."/>
    <d v="2025-04-02T06:23:05"/>
    <s v="Apr-2025"/>
    <x v="0"/>
  </r>
  <r>
    <s v="FB7345"/>
    <s v="Emily Davis"/>
    <x v="6"/>
    <n v="4"/>
    <s v="Perfect for my needs, exactly what I was looking for."/>
    <d v="2025-07-13T06:23:05"/>
    <s v="Jul-2025"/>
    <x v="1"/>
  </r>
  <r>
    <s v="FB9119"/>
    <s v="Sophia Adams"/>
    <x v="7"/>
    <n v="2"/>
    <s v="The product broke within a few weeks, not durable."/>
    <d v="2025-03-22T06:23:05"/>
    <s v="Mar-2025"/>
    <x v="0"/>
  </r>
  <r>
    <s v="FB3589"/>
    <s v="Mark Johnson"/>
    <x v="2"/>
    <n v="2"/>
    <s v="Not satisfied with the product. Would not recommend."/>
    <d v="2024-10-20T06:23:05"/>
    <s v="Oct-2024"/>
    <x v="0"/>
  </r>
  <r>
    <s v="FB8015"/>
    <s v="Michael Brown"/>
    <x v="5"/>
    <n v="4"/>
    <s v="Great customer service, the product exceeded expectations."/>
    <d v="2024-08-27T06:23:05"/>
    <s v="Aug-2024"/>
    <x v="1"/>
  </r>
  <r>
    <s v="FB3074"/>
    <s v="David Lee"/>
    <x v="6"/>
    <n v="2"/>
    <s v="Perfect for my needs, exactly what I was looking for."/>
    <d v="2025-02-21T06:23:05"/>
    <s v="Feb-2025"/>
    <x v="0"/>
  </r>
  <r>
    <s v="FB6298"/>
    <s v="Sophia Adams"/>
    <x v="6"/>
    <n v="4"/>
    <s v="The product broke within a few weeks, not durable."/>
    <d v="2024-08-20T06:23:05"/>
    <s v="Aug-2024"/>
    <x v="1"/>
  </r>
  <r>
    <s v="FB7386"/>
    <s v="Mark Johnson"/>
    <x v="2"/>
    <n v="1"/>
    <s v="Great customer service, the product exceeded expectations."/>
    <d v="2025-05-30T06:23:05"/>
    <s v="May-2025"/>
    <x v="0"/>
  </r>
  <r>
    <s v="FB7893"/>
    <s v="Mark Johnson"/>
    <x v="1"/>
    <n v="3"/>
    <s v="The product broke within a few weeks, not durable."/>
    <d v="2024-12-02T06:23:05"/>
    <s v="Dec-2024"/>
    <x v="2"/>
  </r>
  <r>
    <s v="FB9158"/>
    <s v="Jane Smith"/>
    <x v="1"/>
    <n v="5"/>
    <s v="Good product, but the delivery was late."/>
    <d v="2024-11-07T06:23:05"/>
    <s v="Nov-2024"/>
    <x v="1"/>
  </r>
  <r>
    <s v="FB5722"/>
    <s v="Mark Johnson"/>
    <x v="8"/>
    <n v="2"/>
    <s v="Perfect for my needs, exactly what I was looking for."/>
    <d v="2025-04-10T06:23:05"/>
    <s v="Apr-2025"/>
    <x v="0"/>
  </r>
  <r>
    <s v="FB4626"/>
    <s v="Mark Johnson"/>
    <x v="3"/>
    <n v="1"/>
    <s v="It works fine, but there are better options available."/>
    <d v="2024-10-04T06:23:05"/>
    <s v="Oct-2024"/>
    <x v="0"/>
  </r>
  <r>
    <s v="FB5512"/>
    <s v="Michael Brown"/>
    <x v="5"/>
    <n v="2"/>
    <s v="Great customer service, the product exceeded expectations."/>
    <d v="2025-06-30T06:23:05"/>
    <s v="Jun-2025"/>
    <x v="0"/>
  </r>
  <r>
    <s v="FB1301"/>
    <s v="James Taylor"/>
    <x v="7"/>
    <n v="5"/>
    <s v="Great value for money, very reliable."/>
    <d v="2024-08-28T06:23:05"/>
    <s v="Aug-2024"/>
    <x v="1"/>
  </r>
  <r>
    <s v="FB1799"/>
    <s v="Jane Smith"/>
    <x v="6"/>
    <n v="4"/>
    <s v="Not satisfied with the product. Would not recommend."/>
    <d v="2025-03-12T06:23:05"/>
    <s v="Mar-2025"/>
    <x v="1"/>
  </r>
  <r>
    <s v="FB4747"/>
    <s v="James Taylor"/>
    <x v="1"/>
    <n v="3"/>
    <s v="Perfect for my needs, exactly what I was looking for."/>
    <d v="2024-12-18T06:23:05"/>
    <s v="Dec-2024"/>
    <x v="2"/>
  </r>
  <r>
    <s v="FB8679"/>
    <s v="Emily Davis"/>
    <x v="5"/>
    <n v="1"/>
    <s v="It works fine, but there are better options available."/>
    <d v="2024-11-20T06:23:05"/>
    <s v="Nov-2024"/>
    <x v="0"/>
  </r>
  <r>
    <s v="FB6566"/>
    <s v="Emily Davis"/>
    <x v="9"/>
    <n v="4"/>
    <s v="Perfect for my needs, exactly what I was looking for."/>
    <d v="2025-05-22T06:23:05"/>
    <s v="May-2025"/>
    <x v="1"/>
  </r>
  <r>
    <s v="FB7832"/>
    <s v="Mark Johnson"/>
    <x v="6"/>
    <n v="3"/>
    <s v="Great customer service, the product exceeded expectations."/>
    <d v="2024-10-05T06:23:05"/>
    <s v="Oct-2024"/>
    <x v="2"/>
  </r>
  <r>
    <s v="FB1072"/>
    <s v="Michael Brown"/>
    <x v="7"/>
    <n v="2"/>
    <s v="Great customer service, the product exceeded expectations."/>
    <d v="2025-02-21T06:23:05"/>
    <s v="Feb-2025"/>
    <x v="0"/>
  </r>
  <r>
    <s v="FB7800"/>
    <s v="Laura Clark"/>
    <x v="8"/>
    <n v="5"/>
    <s v="Good product, but the delivery was late."/>
    <d v="2024-11-20T06:23:05"/>
    <s v="Nov-2024"/>
    <x v="1"/>
  </r>
  <r>
    <s v="FB9021"/>
    <s v="Sarah Wilson"/>
    <x v="5"/>
    <n v="2"/>
    <s v="Not satisfied with the product. Would not recommend."/>
    <d v="2024-08-30T06:23:05"/>
    <s v="Aug-2024"/>
    <x v="0"/>
  </r>
  <r>
    <s v="FB1454"/>
    <s v="Sarah Wilson"/>
    <x v="5"/>
    <n v="1"/>
    <s v="Disappointed. The product arrived damaged."/>
    <d v="2024-12-04T06:23:05"/>
    <s v="Dec-2024"/>
    <x v="0"/>
  </r>
  <r>
    <s v="FB7108"/>
    <s v="Mark Johnson"/>
    <x v="8"/>
    <n v="5"/>
    <s v="Perfect for my needs, exactly what I was looking for."/>
    <d v="2024-12-30T06:23:05"/>
    <s v="Dec-2024"/>
    <x v="1"/>
  </r>
  <r>
    <s v="FB8780"/>
    <s v="James Taylor"/>
    <x v="4"/>
    <n v="5"/>
    <s v="Good product, but the delivery was late."/>
    <d v="2024-08-18T06:23:05"/>
    <s v="Aug-2024"/>
    <x v="1"/>
  </r>
  <r>
    <s v="FB8140"/>
    <s v="David Lee"/>
    <x v="3"/>
    <n v="2"/>
    <s v="Perfect for my needs, exactly what I was looking for."/>
    <d v="2024-11-11T06:23:05"/>
    <s v="Nov-2024"/>
    <x v="0"/>
  </r>
  <r>
    <s v="FB2783"/>
    <s v="David Lee"/>
    <x v="0"/>
    <n v="5"/>
    <s v="The product broke within a few weeks, not durable."/>
    <d v="2025-05-30T06:23:05"/>
    <s v="May-2025"/>
    <x v="1"/>
  </r>
  <r>
    <s v="FB2046"/>
    <s v="Mark Johnson"/>
    <x v="3"/>
    <n v="1"/>
    <s v="Great customer service, the product exceeded expectations."/>
    <d v="2025-06-22T06:23:05"/>
    <s v="Jun-2025"/>
    <x v="0"/>
  </r>
  <r>
    <s v="FB9916"/>
    <s v="Jane Smith"/>
    <x v="6"/>
    <n v="3"/>
    <s v="Disappointed. The product arrived damaged."/>
    <d v="2025-02-13T06:23:05"/>
    <s v="Feb-2025"/>
    <x v="2"/>
  </r>
  <r>
    <s v="FB1781"/>
    <s v="Sarah Wilson"/>
    <x v="6"/>
    <n v="3"/>
    <s v="Disappointed. The product arrived damaged."/>
    <d v="2025-02-28T06:23:05"/>
    <s v="Feb-2025"/>
    <x v="2"/>
  </r>
  <r>
    <s v="FB7749"/>
    <s v="Sophia Adams"/>
    <x v="6"/>
    <n v="4"/>
    <s v="Not satisfied with the product. Would not recommend."/>
    <d v="2025-05-21T06:23:05"/>
    <s v="May-2025"/>
    <x v="1"/>
  </r>
  <r>
    <s v="FB8997"/>
    <s v="Emily Davis"/>
    <x v="0"/>
    <n v="1"/>
    <s v="Perfect for my needs, exactly what I was looking for."/>
    <d v="2024-10-21T06:23:05"/>
    <s v="Oct-2024"/>
    <x v="0"/>
  </r>
  <r>
    <s v="FB8498"/>
    <s v="Michael Brown"/>
    <x v="5"/>
    <n v="1"/>
    <s v="Good product, but the delivery was late."/>
    <d v="2025-06-03T06:23:05"/>
    <s v="Jun-2025"/>
    <x v="0"/>
  </r>
  <r>
    <s v="FB1290"/>
    <s v="Laura Clark"/>
    <x v="7"/>
    <n v="1"/>
    <s v="It works fine, but there are better options available."/>
    <d v="2025-08-08T06:23:05"/>
    <s v="Aug-2025"/>
    <x v="0"/>
  </r>
  <r>
    <s v="FB9546"/>
    <s v="Michael Brown"/>
    <x v="0"/>
    <n v="1"/>
    <s v="Not satisfied with the product. Would not recommend."/>
    <d v="2025-01-10T06:23:05"/>
    <s v="Jan-2025"/>
    <x v="0"/>
  </r>
  <r>
    <s v="FB5090"/>
    <s v="Laura Clark"/>
    <x v="8"/>
    <n v="5"/>
    <s v="The quality could be better, but it's decent for the price."/>
    <d v="2025-04-21T06:23:05"/>
    <s v="Apr-2025"/>
    <x v="1"/>
  </r>
  <r>
    <s v="FB9580"/>
    <s v="Laura Clark"/>
    <x v="8"/>
    <n v="1"/>
    <s v="Good product, but the delivery was late."/>
    <d v="2024-09-27T06:23:05"/>
    <s v="Sep-2024"/>
    <x v="0"/>
  </r>
  <r>
    <s v="FB7324"/>
    <s v="Emily Davis"/>
    <x v="4"/>
    <n v="4"/>
    <s v="It works fine, but there are better options available."/>
    <d v="2025-06-01T06:23:05"/>
    <s v="Jun-2025"/>
    <x v="1"/>
  </r>
  <r>
    <s v="FB2741"/>
    <s v="James Taylor"/>
    <x v="1"/>
    <n v="3"/>
    <s v="The quality could be better, but it's decent for the price."/>
    <d v="2025-07-12T06:23:05"/>
    <s v="Jul-2025"/>
    <x v="2"/>
  </r>
  <r>
    <s v="FB6678"/>
    <s v="John Doe"/>
    <x v="1"/>
    <n v="3"/>
    <s v="Disappointed. The product arrived damaged."/>
    <d v="2024-09-08T06:23:05"/>
    <s v="Sep-2024"/>
    <x v="2"/>
  </r>
  <r>
    <s v="FB7872"/>
    <s v="Sophia Adams"/>
    <x v="4"/>
    <n v="3"/>
    <s v="Great customer service, the product exceeded expectations."/>
    <d v="2025-04-16T06:23:05"/>
    <s v="Apr-2025"/>
    <x v="2"/>
  </r>
  <r>
    <s v="FB1947"/>
    <s v="Michael Brown"/>
    <x v="9"/>
    <n v="4"/>
    <s v="Great customer service, the product exceeded expectations."/>
    <d v="2025-03-26T06:23:05"/>
    <s v="Mar-2025"/>
    <x v="1"/>
  </r>
  <r>
    <s v="FB4056"/>
    <s v="James Taylor"/>
    <x v="8"/>
    <n v="1"/>
    <s v="Perfect for my needs, exactly what I was looking for."/>
    <d v="2025-08-17T06:23:05"/>
    <s v="Aug-2025"/>
    <x v="0"/>
  </r>
  <r>
    <s v="FB1655"/>
    <s v="James Taylor"/>
    <x v="6"/>
    <n v="3"/>
    <s v="Great value for money, very reliable."/>
    <d v="2024-11-27T06:23:05"/>
    <s v="Nov-2024"/>
    <x v="2"/>
  </r>
  <r>
    <s v="FB2028"/>
    <s v="Sarah Wilson"/>
    <x v="1"/>
    <n v="2"/>
    <s v="The product broke within a few weeks, not durable."/>
    <d v="2025-06-26T06:23:05"/>
    <s v="Jun-2025"/>
    <x v="0"/>
  </r>
  <r>
    <s v="FB5854"/>
    <s v="John Doe"/>
    <x v="5"/>
    <n v="1"/>
    <s v="It works fine, but there are better options available."/>
    <d v="2024-11-06T06:23:05"/>
    <s v="Nov-2024"/>
    <x v="0"/>
  </r>
  <r>
    <s v="FB4532"/>
    <s v="Laura Clark"/>
    <x v="2"/>
    <n v="1"/>
    <s v="The quality could be better, but it's decent for the price."/>
    <d v="2024-11-25T06:23:05"/>
    <s v="Nov-2024"/>
    <x v="0"/>
  </r>
  <r>
    <s v="FB5107"/>
    <s v="Michael Brown"/>
    <x v="3"/>
    <n v="4"/>
    <s v="The quality could be better, but it's decent for the price."/>
    <d v="2025-02-18T06:23:05"/>
    <s v="Feb-2025"/>
    <x v="1"/>
  </r>
  <r>
    <s v="FB2357"/>
    <s v="James Taylor"/>
    <x v="6"/>
    <n v="3"/>
    <s v="The product broke within a few weeks, not durable."/>
    <d v="2025-03-09T06:23:05"/>
    <s v="Mar-2025"/>
    <x v="2"/>
  </r>
  <r>
    <s v="FB5881"/>
    <s v="Mark Johnson"/>
    <x v="6"/>
    <n v="4"/>
    <s v="Disappointed. The product arrived damaged."/>
    <d v="2025-03-30T06:23:05"/>
    <s v="Mar-2025"/>
    <x v="1"/>
  </r>
  <r>
    <s v="FB8040"/>
    <s v="James Taylor"/>
    <x v="9"/>
    <n v="1"/>
    <s v="Disappointed. The product arrived damaged."/>
    <d v="2025-08-08T06:23:05"/>
    <s v="Aug-2025"/>
    <x v="0"/>
  </r>
  <r>
    <s v="FB4719"/>
    <s v="James Taylor"/>
    <x v="9"/>
    <n v="2"/>
    <s v="It works fine, but there are better options available."/>
    <d v="2025-05-14T06:23:05"/>
    <s v="May-2025"/>
    <x v="0"/>
  </r>
  <r>
    <s v="FB7433"/>
    <s v="David Lee"/>
    <x v="7"/>
    <n v="2"/>
    <s v="Good product, but the delivery was late."/>
    <d v="2025-04-11T06:23:05"/>
    <s v="Apr-2025"/>
    <x v="0"/>
  </r>
  <r>
    <s v="FB4098"/>
    <s v="Sarah Wilson"/>
    <x v="6"/>
    <n v="2"/>
    <s v="Not satisfied with the product. Would not recommend."/>
    <d v="2025-06-24T06:23:05"/>
    <s v="Jun-2025"/>
    <x v="0"/>
  </r>
  <r>
    <s v="FB9713"/>
    <s v="Sophia Adams"/>
    <x v="9"/>
    <n v="4"/>
    <s v="Not satisfied with the product. Would not recommend."/>
    <d v="2025-07-15T06:23:05"/>
    <s v="Jul-2025"/>
    <x v="1"/>
  </r>
  <r>
    <s v="FB2920"/>
    <s v="Mark Johnson"/>
    <x v="2"/>
    <n v="2"/>
    <s v="Perfect for my needs, exactly what I was looking for."/>
    <d v="2025-02-13T06:23:05"/>
    <s v="Feb-2025"/>
    <x v="0"/>
  </r>
  <r>
    <s v="FB1582"/>
    <s v="David Lee"/>
    <x v="4"/>
    <n v="1"/>
    <s v="It works fine, but there are better options available."/>
    <d v="2025-03-02T06:23:05"/>
    <s v="Mar-2025"/>
    <x v="0"/>
  </r>
  <r>
    <s v="FB9538"/>
    <s v="Jane Smith"/>
    <x v="1"/>
    <n v="4"/>
    <s v="Good product, but the delivery was late."/>
    <d v="2025-07-14T06:23:05"/>
    <s v="Jul-2025"/>
    <x v="1"/>
  </r>
  <r>
    <s v="FB9437"/>
    <s v="Jane Smith"/>
    <x v="2"/>
    <n v="5"/>
    <s v="Perfect for my needs, exactly what I was looking for."/>
    <d v="2024-10-01T06:23:05"/>
    <s v="Oct-2024"/>
    <x v="1"/>
  </r>
  <r>
    <s v="FB6706"/>
    <s v="Jane Smith"/>
    <x v="9"/>
    <n v="2"/>
    <s v="It works fine, but there are better options available."/>
    <d v="2025-04-28T06:23:05"/>
    <s v="Apr-2025"/>
    <x v="0"/>
  </r>
  <r>
    <s v="FB7378"/>
    <s v="Jane Smith"/>
    <x v="4"/>
    <n v="5"/>
    <s v="Great value for money, very reliable."/>
    <d v="2025-01-22T06:23:05"/>
    <s v="Jan-2025"/>
    <x v="1"/>
  </r>
  <r>
    <s v="FB1465"/>
    <s v="Sophia Adams"/>
    <x v="5"/>
    <n v="5"/>
    <s v="Not satisfied with the product. Would not recommend."/>
    <d v="2025-06-11T06:23:05"/>
    <s v="Jun-2025"/>
    <x v="1"/>
  </r>
  <r>
    <s v="FB2295"/>
    <s v="David Lee"/>
    <x v="2"/>
    <n v="3"/>
    <s v="The product broke within a few weeks, not durable."/>
    <d v="2025-01-05T06:23:05"/>
    <s v="Jan-2025"/>
    <x v="2"/>
  </r>
  <r>
    <s v="FB7803"/>
    <s v="Laura Clark"/>
    <x v="9"/>
    <n v="1"/>
    <s v="Disappointed. The product arrived damaged."/>
    <d v="2025-03-19T06:23:05"/>
    <s v="Mar-2025"/>
    <x v="0"/>
  </r>
  <r>
    <s v="FB5665"/>
    <s v="James Taylor"/>
    <x v="5"/>
    <n v="2"/>
    <s v="Excellent product, really happy with the purchase!"/>
    <d v="2025-04-17T06:23:05"/>
    <s v="Apr-2025"/>
    <x v="0"/>
  </r>
  <r>
    <s v="FB1030"/>
    <s v="Mark Johnson"/>
    <x v="0"/>
    <n v="1"/>
    <s v="Great value for money, very reliable."/>
    <d v="2025-01-27T06:23:05"/>
    <s v="Jan-2025"/>
    <x v="0"/>
  </r>
  <r>
    <s v="FB7069"/>
    <s v="Michael Brown"/>
    <x v="7"/>
    <n v="5"/>
    <s v="It works fine, but there are better options available."/>
    <d v="2025-06-06T06:23:05"/>
    <s v="Jun-2025"/>
    <x v="1"/>
  </r>
  <r>
    <s v="FB6649"/>
    <s v="John Doe"/>
    <x v="5"/>
    <n v="2"/>
    <s v="Perfect for my needs, exactly what I was looking for."/>
    <d v="2024-10-25T06:23:05"/>
    <s v="Oct-2024"/>
    <x v="0"/>
  </r>
  <r>
    <s v="FB4256"/>
    <s v="Sarah Wilson"/>
    <x v="8"/>
    <n v="5"/>
    <s v="Great customer service, the product exceeded expectations."/>
    <d v="2025-05-31T06:23:05"/>
    <s v="May-2025"/>
    <x v="1"/>
  </r>
  <r>
    <s v="FB2683"/>
    <s v="James Taylor"/>
    <x v="4"/>
    <n v="3"/>
    <s v="Good product, but the delivery was late."/>
    <d v="2025-05-06T06:23:05"/>
    <s v="May-2025"/>
    <x v="2"/>
  </r>
  <r>
    <s v="FB8775"/>
    <s v="Laura Clark"/>
    <x v="2"/>
    <n v="5"/>
    <s v="It works fine, but there are better options available."/>
    <d v="2024-11-24T06:23:05"/>
    <s v="Nov-2024"/>
    <x v="1"/>
  </r>
  <r>
    <s v="FB5853"/>
    <s v="Mark Johnson"/>
    <x v="2"/>
    <n v="5"/>
    <s v="Perfect for my needs, exactly what I was looking for."/>
    <d v="2025-01-10T06:23:05"/>
    <s v="Jan-2025"/>
    <x v="1"/>
  </r>
  <r>
    <s v="FB8445"/>
    <s v="Laura Clark"/>
    <x v="7"/>
    <n v="4"/>
    <s v="The product broke within a few weeks, not durable."/>
    <d v="2025-07-07T06:23:05"/>
    <s v="Jul-2025"/>
    <x v="1"/>
  </r>
  <r>
    <s v="FB6213"/>
    <s v="Mark Johnson"/>
    <x v="9"/>
    <n v="4"/>
    <s v="Disappointed. The product arrived damaged."/>
    <d v="2024-08-27T06:23:05"/>
    <s v="Aug-2024"/>
    <x v="1"/>
  </r>
  <r>
    <s v="FB3191"/>
    <s v="Laura Clark"/>
    <x v="7"/>
    <n v="5"/>
    <s v="It works fine, but there are better options available."/>
    <d v="2025-03-14T06:23:05"/>
    <s v="Mar-2025"/>
    <x v="1"/>
  </r>
  <r>
    <s v="FB2990"/>
    <s v="Mark Johnson"/>
    <x v="2"/>
    <n v="2"/>
    <s v="Not satisfied with the product. Would not recommend."/>
    <d v="2024-10-04T06:23:05"/>
    <s v="Oct-2024"/>
    <x v="0"/>
  </r>
  <r>
    <s v="FB9559"/>
    <s v="John Doe"/>
    <x v="2"/>
    <n v="1"/>
    <s v="Great customer service, the product exceeded expectations."/>
    <d v="2025-07-28T06:23:05"/>
    <s v="Jul-2025"/>
    <x v="0"/>
  </r>
  <r>
    <s v="FB2509"/>
    <s v="Mark Johnson"/>
    <x v="4"/>
    <n v="3"/>
    <s v="The product broke within a few weeks, not durable."/>
    <d v="2025-01-27T06:23:05"/>
    <s v="Jan-2025"/>
    <x v="2"/>
  </r>
  <r>
    <s v="FB7555"/>
    <s v="Mark Johnson"/>
    <x v="2"/>
    <n v="5"/>
    <s v="Disappointed. The product arrived damaged."/>
    <d v="2025-04-25T06:23:05"/>
    <s v="Apr-2025"/>
    <x v="1"/>
  </r>
  <r>
    <s v="FB6346"/>
    <s v="James Taylor"/>
    <x v="6"/>
    <n v="5"/>
    <s v="It works fine, but there are better options available."/>
    <d v="2025-08-15T06:23:05"/>
    <s v="Aug-2025"/>
    <x v="1"/>
  </r>
  <r>
    <s v="FB1685"/>
    <s v="John Doe"/>
    <x v="4"/>
    <n v="5"/>
    <s v="Great value for money, very reliable."/>
    <d v="2024-09-08T06:23:05"/>
    <s v="Sep-2024"/>
    <x v="1"/>
  </r>
  <r>
    <s v="FB9625"/>
    <s v="Michael Brown"/>
    <x v="9"/>
    <n v="3"/>
    <s v="Great customer service, the product exceeded expectations."/>
    <d v="2025-05-19T06:23:05"/>
    <s v="May-2025"/>
    <x v="2"/>
  </r>
  <r>
    <s v="FB2209"/>
    <s v="Jane Smith"/>
    <x v="3"/>
    <n v="4"/>
    <s v="Perfect for my needs, exactly what I was looking for."/>
    <d v="2025-02-04T06:23:05"/>
    <s v="Feb-2025"/>
    <x v="1"/>
  </r>
  <r>
    <s v="FB9230"/>
    <s v="John Doe"/>
    <x v="5"/>
    <n v="3"/>
    <s v="The product broke within a few weeks, not durable."/>
    <d v="2024-10-18T06:23:05"/>
    <s v="Oct-2024"/>
    <x v="2"/>
  </r>
  <r>
    <s v="FB6744"/>
    <s v="Mark Johnson"/>
    <x v="6"/>
    <n v="5"/>
    <s v="Not satisfied with the product. Would not recommend."/>
    <d v="2025-02-26T06:23:05"/>
    <s v="Feb-2025"/>
    <x v="1"/>
  </r>
  <r>
    <s v="FB5660"/>
    <s v="John Doe"/>
    <x v="1"/>
    <n v="2"/>
    <s v="It works fine, but there are better options available."/>
    <d v="2025-03-10T06:23:05"/>
    <s v="Mar-2025"/>
    <x v="0"/>
  </r>
  <r>
    <s v="FB5211"/>
    <s v="James Taylor"/>
    <x v="5"/>
    <n v="5"/>
    <s v="Not satisfied with the product. Would not recommend."/>
    <d v="2024-10-25T06:23:05"/>
    <s v="Oct-2024"/>
    <x v="1"/>
  </r>
  <r>
    <s v="FB9106"/>
    <s v="Jane Smith"/>
    <x v="0"/>
    <n v="4"/>
    <s v="Great value for money, very reliable."/>
    <d v="2024-10-17T06:23:05"/>
    <s v="Oct-2024"/>
    <x v="1"/>
  </r>
  <r>
    <s v="FB8817"/>
    <s v="Emily Davis"/>
    <x v="2"/>
    <n v="4"/>
    <s v="Great value for money, very reliable."/>
    <d v="2024-09-20T06:23:05"/>
    <s v="Sep-2024"/>
    <x v="1"/>
  </r>
  <r>
    <s v="FB1770"/>
    <s v="Michael Brown"/>
    <x v="1"/>
    <n v="1"/>
    <s v="The quality could be better, but it's decent for the price."/>
    <d v="2025-01-01T06:23:05"/>
    <s v="Jan-2025"/>
    <x v="0"/>
  </r>
  <r>
    <s v="FB9921"/>
    <s v="Laura Clark"/>
    <x v="0"/>
    <n v="4"/>
    <s v="Not satisfied with the product. Would not recommend."/>
    <d v="2024-11-19T06:23:05"/>
    <s v="Nov-2024"/>
    <x v="1"/>
  </r>
  <r>
    <s v="FB1140"/>
    <s v="Laura Clark"/>
    <x v="6"/>
    <n v="2"/>
    <s v="The quality could be better, but it's decent for the price."/>
    <d v="2024-11-27T06:23:05"/>
    <s v="Nov-2024"/>
    <x v="0"/>
  </r>
  <r>
    <s v="FB7422"/>
    <s v="David Lee"/>
    <x v="9"/>
    <n v="5"/>
    <s v="Good product, but the delivery was late."/>
    <d v="2024-12-25T06:23:05"/>
    <s v="Dec-2024"/>
    <x v="1"/>
  </r>
  <r>
    <s v="FB3517"/>
    <s v="Sarah Wilson"/>
    <x v="9"/>
    <n v="5"/>
    <s v="It works fine, but there are better options available."/>
    <d v="2025-01-08T06:23:05"/>
    <s v="Jan-2025"/>
    <x v="1"/>
  </r>
  <r>
    <m/>
    <m/>
    <x v="10"/>
    <m/>
    <m/>
    <m/>
    <m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27BCDA-C1E9-46B4-B010-0A6F362A390A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0" fieldListSortAscending="1">
  <location ref="A3:B17" firstHeaderRow="1" firstDataRow="1" firstDataCol="1"/>
  <pivotFields count="8">
    <pivotField dataField="1" showAll="0"/>
    <pivotField showAll="0"/>
    <pivotField showAll="0"/>
    <pivotField showAll="0"/>
    <pivotField showAll="0"/>
    <pivotField numFmtId="164" showAll="0"/>
    <pivotField axis="axisRow" showAll="0" sortType="ascending">
      <items count="14">
        <item x="6"/>
        <item x="11"/>
        <item x="10"/>
        <item x="2"/>
        <item x="5"/>
        <item x="7"/>
        <item x="3"/>
        <item x="0"/>
        <item x="1"/>
        <item x="12"/>
        <item x="8"/>
        <item x="9"/>
        <item x="4"/>
        <item t="default"/>
      </items>
    </pivotField>
    <pivotField showAll="0"/>
  </pivotFields>
  <rowFields count="1">
    <field x="6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Count of Feedback ID" fld="0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1D3EDA-5153-42AE-A6EE-7773E851DC5E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1" rowHeaderCaption="Prodcuts" colHeaderCaption="Negative">
  <location ref="A3:E15" firstHeaderRow="1" firstDataRow="2" firstDataCol="1"/>
  <pivotFields count="8">
    <pivotField dataField="1" showAll="0"/>
    <pivotField showAll="0"/>
    <pivotField axis="axisRow" showAll="0">
      <items count="12">
        <item x="2"/>
        <item x="0"/>
        <item x="7"/>
        <item x="4"/>
        <item x="8"/>
        <item x="5"/>
        <item x="1"/>
        <item x="9"/>
        <item x="6"/>
        <item x="3"/>
        <item x="10"/>
        <item t="default"/>
      </items>
    </pivotField>
    <pivotField showAll="0"/>
    <pivotField showAll="0"/>
    <pivotField showAll="0"/>
    <pivotField showAll="0"/>
    <pivotField axis="axisCol" showAll="0">
      <items count="5">
        <item x="0"/>
        <item x="2"/>
        <item x="1"/>
        <item h="1" x="3"/>
        <item t="default"/>
      </items>
    </pivotField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7"/>
  </colFields>
  <colItems count="4">
    <i>
      <x/>
    </i>
    <i>
      <x v="1"/>
    </i>
    <i>
      <x v="2"/>
    </i>
    <i t="grand">
      <x/>
    </i>
  </colItems>
  <dataFields count="1">
    <dataField name="Count of Feedback ID" fld="0" subtotal="count" baseField="0" baseItem="0"/>
  </dataFields>
  <formats count="36">
    <format dxfId="65">
      <pivotArea type="all" dataOnly="0" outline="0" fieldPosition="0"/>
    </format>
    <format dxfId="64">
      <pivotArea outline="0" collapsedLevelsAreSubtotals="1" fieldPosition="0"/>
    </format>
    <format dxfId="63">
      <pivotArea type="origin" dataOnly="0" labelOnly="1" outline="0" fieldPosition="0"/>
    </format>
    <format dxfId="62">
      <pivotArea field="7" type="button" dataOnly="0" labelOnly="1" outline="0" axis="axisCol" fieldPosition="0"/>
    </format>
    <format dxfId="61">
      <pivotArea type="topRight" dataOnly="0" labelOnly="1" outline="0" fieldPosition="0"/>
    </format>
    <format dxfId="60">
      <pivotArea field="2" type="button" dataOnly="0" labelOnly="1" outline="0" axis="axisRow" fieldPosition="0"/>
    </format>
    <format dxfId="59">
      <pivotArea dataOnly="0" labelOnly="1" fieldPosition="0">
        <references count="1">
          <reference field="2" count="0"/>
        </references>
      </pivotArea>
    </format>
    <format dxfId="58">
      <pivotArea dataOnly="0" labelOnly="1" grandRow="1" outline="0" fieldPosition="0"/>
    </format>
    <format dxfId="57">
      <pivotArea dataOnly="0" labelOnly="1" fieldPosition="0">
        <references count="1">
          <reference field="7" count="0"/>
        </references>
      </pivotArea>
    </format>
    <format dxfId="56">
      <pivotArea dataOnly="0" labelOnly="1" grandCol="1" outline="0" fieldPosition="0"/>
    </format>
    <format dxfId="55">
      <pivotArea type="all" dataOnly="0" outline="0" fieldPosition="0"/>
    </format>
    <format dxfId="54">
      <pivotArea outline="0" collapsedLevelsAreSubtotals="1" fieldPosition="0"/>
    </format>
    <format dxfId="53">
      <pivotArea type="origin" dataOnly="0" labelOnly="1" outline="0" fieldPosition="0"/>
    </format>
    <format dxfId="52">
      <pivotArea field="7" type="button" dataOnly="0" labelOnly="1" outline="0" axis="axisCol" fieldPosition="0"/>
    </format>
    <format dxfId="51">
      <pivotArea type="topRight" dataOnly="0" labelOnly="1" outline="0" fieldPosition="0"/>
    </format>
    <format dxfId="50">
      <pivotArea field="2" type="button" dataOnly="0" labelOnly="1" outline="0" axis="axisRow" fieldPosition="0"/>
    </format>
    <format dxfId="49">
      <pivotArea dataOnly="0" labelOnly="1" fieldPosition="0">
        <references count="1">
          <reference field="2" count="0"/>
        </references>
      </pivotArea>
    </format>
    <format dxfId="48">
      <pivotArea dataOnly="0" labelOnly="1" grandRow="1" outline="0" fieldPosition="0"/>
    </format>
    <format dxfId="47">
      <pivotArea dataOnly="0" labelOnly="1" fieldPosition="0">
        <references count="1">
          <reference field="7" count="0"/>
        </references>
      </pivotArea>
    </format>
    <format dxfId="46">
      <pivotArea dataOnly="0" labelOnly="1" grandCol="1" outline="0" fieldPosition="0"/>
    </format>
    <format dxfId="45">
      <pivotArea type="all" dataOnly="0" outline="0" fieldPosition="0"/>
    </format>
    <format dxfId="44">
      <pivotArea outline="0" collapsedLevelsAreSubtotals="1" fieldPosition="0"/>
    </format>
    <format dxfId="43">
      <pivotArea type="origin" dataOnly="0" labelOnly="1" outline="0" fieldPosition="0"/>
    </format>
    <format dxfId="42">
      <pivotArea field="7" type="button" dataOnly="0" labelOnly="1" outline="0" axis="axisCol" fieldPosition="0"/>
    </format>
    <format dxfId="41">
      <pivotArea type="topRight" dataOnly="0" labelOnly="1" outline="0" fieldPosition="0"/>
    </format>
    <format dxfId="40">
      <pivotArea field="2" type="button" dataOnly="0" labelOnly="1" outline="0" axis="axisRow" fieldPosition="0"/>
    </format>
    <format dxfId="39">
      <pivotArea dataOnly="0" labelOnly="1" fieldPosition="0">
        <references count="1">
          <reference field="2" count="0"/>
        </references>
      </pivotArea>
    </format>
    <format dxfId="38">
      <pivotArea dataOnly="0" labelOnly="1" grandRow="1" outline="0" fieldPosition="0"/>
    </format>
    <format dxfId="37">
      <pivotArea dataOnly="0" labelOnly="1" fieldPosition="0">
        <references count="1">
          <reference field="7" count="0"/>
        </references>
      </pivotArea>
    </format>
    <format dxfId="36">
      <pivotArea dataOnly="0" labelOnly="1" grandCol="1" outline="0" fieldPosition="0"/>
    </format>
    <format dxfId="35">
      <pivotArea type="origin" dataOnly="0" labelOnly="1" outline="0" fieldPosition="0"/>
    </format>
    <format dxfId="34">
      <pivotArea field="7" type="button" dataOnly="0" labelOnly="1" outline="0" axis="axisCol" fieldPosition="0"/>
    </format>
    <format dxfId="33">
      <pivotArea type="topRight" dataOnly="0" labelOnly="1" outline="0" fieldPosition="0"/>
    </format>
    <format dxfId="32">
      <pivotArea field="2" type="button" dataOnly="0" labelOnly="1" outline="0" axis="axisRow" fieldPosition="0"/>
    </format>
    <format dxfId="31">
      <pivotArea dataOnly="0" labelOnly="1" fieldPosition="0">
        <references count="1">
          <reference field="7" count="0"/>
        </references>
      </pivotArea>
    </format>
    <format dxfId="30">
      <pivotArea dataOnly="0" labelOnly="1" grandCol="1" outline="0" fieldPosition="0"/>
    </format>
  </formats>
  <chartFormats count="46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1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1" format="1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1" format="1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1" format="1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1" format="19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7" count="1" selected="0">
            <x v="0"/>
          </reference>
        </references>
      </pivotArea>
    </chartFormat>
    <chartFormat chart="21" format="20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7" count="1" selected="0">
            <x v="0"/>
          </reference>
        </references>
      </pivotArea>
    </chartFormat>
    <chartFormat chart="21" format="2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7" count="1" selected="0">
            <x v="0"/>
          </reference>
        </references>
      </pivotArea>
    </chartFormat>
    <chartFormat chart="21" format="22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7" count="1" selected="0">
            <x v="0"/>
          </reference>
        </references>
      </pivotArea>
    </chartFormat>
    <chartFormat chart="21" format="23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7" count="1" selected="0">
            <x v="0"/>
          </reference>
        </references>
      </pivotArea>
    </chartFormat>
    <chartFormat chart="21" format="24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7" count="1" selected="0">
            <x v="0"/>
          </reference>
        </references>
      </pivotArea>
    </chartFormat>
    <chartFormat chart="21" format="25">
      <pivotArea type="data" outline="0" fieldPosition="0">
        <references count="3">
          <reference field="4294967294" count="1" selected="0">
            <x v="0"/>
          </reference>
          <reference field="2" count="1" selected="0">
            <x v="6"/>
          </reference>
          <reference field="7" count="1" selected="0">
            <x v="0"/>
          </reference>
        </references>
      </pivotArea>
    </chartFormat>
    <chartFormat chart="21" format="26">
      <pivotArea type="data" outline="0" fieldPosition="0">
        <references count="3">
          <reference field="4294967294" count="1" selected="0">
            <x v="0"/>
          </reference>
          <reference field="2" count="1" selected="0">
            <x v="7"/>
          </reference>
          <reference field="7" count="1" selected="0">
            <x v="0"/>
          </reference>
        </references>
      </pivotArea>
    </chartFormat>
    <chartFormat chart="21" format="27">
      <pivotArea type="data" outline="0" fieldPosition="0">
        <references count="3">
          <reference field="4294967294" count="1" selected="0">
            <x v="0"/>
          </reference>
          <reference field="2" count="1" selected="0">
            <x v="8"/>
          </reference>
          <reference field="7" count="1" selected="0">
            <x v="0"/>
          </reference>
        </references>
      </pivotArea>
    </chartFormat>
    <chartFormat chart="21" format="28">
      <pivotArea type="data" outline="0" fieldPosition="0">
        <references count="3">
          <reference field="4294967294" count="1" selected="0">
            <x v="0"/>
          </reference>
          <reference field="2" count="1" selected="0">
            <x v="9"/>
          </reference>
          <reference field="7" count="1" selected="0">
            <x v="0"/>
          </reference>
        </references>
      </pivotArea>
    </chartFormat>
    <chartFormat chart="21" format="29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7" count="1" selected="0">
            <x v="1"/>
          </reference>
        </references>
      </pivotArea>
    </chartFormat>
    <chartFormat chart="21" format="30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7" count="1" selected="0">
            <x v="1"/>
          </reference>
        </references>
      </pivotArea>
    </chartFormat>
    <chartFormat chart="21" format="3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7" count="1" selected="0">
            <x v="1"/>
          </reference>
        </references>
      </pivotArea>
    </chartFormat>
    <chartFormat chart="21" format="32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7" count="1" selected="0">
            <x v="1"/>
          </reference>
        </references>
      </pivotArea>
    </chartFormat>
    <chartFormat chart="21" format="33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7" count="1" selected="0">
            <x v="1"/>
          </reference>
        </references>
      </pivotArea>
    </chartFormat>
    <chartFormat chart="21" format="34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7" count="1" selected="0">
            <x v="1"/>
          </reference>
        </references>
      </pivotArea>
    </chartFormat>
    <chartFormat chart="21" format="35">
      <pivotArea type="data" outline="0" fieldPosition="0">
        <references count="3">
          <reference field="4294967294" count="1" selected="0">
            <x v="0"/>
          </reference>
          <reference field="2" count="1" selected="0">
            <x v="6"/>
          </reference>
          <reference field="7" count="1" selected="0">
            <x v="1"/>
          </reference>
        </references>
      </pivotArea>
    </chartFormat>
    <chartFormat chart="21" format="36">
      <pivotArea type="data" outline="0" fieldPosition="0">
        <references count="3">
          <reference field="4294967294" count="1" selected="0">
            <x v="0"/>
          </reference>
          <reference field="2" count="1" selected="0">
            <x v="7"/>
          </reference>
          <reference field="7" count="1" selected="0">
            <x v="1"/>
          </reference>
        </references>
      </pivotArea>
    </chartFormat>
    <chartFormat chart="21" format="37">
      <pivotArea type="data" outline="0" fieldPosition="0">
        <references count="3">
          <reference field="4294967294" count="1" selected="0">
            <x v="0"/>
          </reference>
          <reference field="2" count="1" selected="0">
            <x v="8"/>
          </reference>
          <reference field="7" count="1" selected="0">
            <x v="1"/>
          </reference>
        </references>
      </pivotArea>
    </chartFormat>
    <chartFormat chart="21" format="38">
      <pivotArea type="data" outline="0" fieldPosition="0">
        <references count="3">
          <reference field="4294967294" count="1" selected="0">
            <x v="0"/>
          </reference>
          <reference field="2" count="1" selected="0">
            <x v="9"/>
          </reference>
          <reference field="7" count="1" selected="0">
            <x v="1"/>
          </reference>
        </references>
      </pivotArea>
    </chartFormat>
    <chartFormat chart="21" format="39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7" count="1" selected="0">
            <x v="2"/>
          </reference>
        </references>
      </pivotArea>
    </chartFormat>
    <chartFormat chart="21" format="40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7" count="1" selected="0">
            <x v="2"/>
          </reference>
        </references>
      </pivotArea>
    </chartFormat>
    <chartFormat chart="21" format="4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7" count="1" selected="0">
            <x v="2"/>
          </reference>
        </references>
      </pivotArea>
    </chartFormat>
    <chartFormat chart="21" format="42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7" count="1" selected="0">
            <x v="2"/>
          </reference>
        </references>
      </pivotArea>
    </chartFormat>
    <chartFormat chart="21" format="43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7" count="1" selected="0">
            <x v="2"/>
          </reference>
        </references>
      </pivotArea>
    </chartFormat>
    <chartFormat chart="21" format="44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7" count="1" selected="0">
            <x v="2"/>
          </reference>
        </references>
      </pivotArea>
    </chartFormat>
    <chartFormat chart="21" format="45">
      <pivotArea type="data" outline="0" fieldPosition="0">
        <references count="3">
          <reference field="4294967294" count="1" selected="0">
            <x v="0"/>
          </reference>
          <reference field="2" count="1" selected="0">
            <x v="6"/>
          </reference>
          <reference field="7" count="1" selected="0">
            <x v="2"/>
          </reference>
        </references>
      </pivotArea>
    </chartFormat>
    <chartFormat chart="21" format="46">
      <pivotArea type="data" outline="0" fieldPosition="0">
        <references count="3">
          <reference field="4294967294" count="1" selected="0">
            <x v="0"/>
          </reference>
          <reference field="2" count="1" selected="0">
            <x v="7"/>
          </reference>
          <reference field="7" count="1" selected="0">
            <x v="2"/>
          </reference>
        </references>
      </pivotArea>
    </chartFormat>
    <chartFormat chart="21" format="47">
      <pivotArea type="data" outline="0" fieldPosition="0">
        <references count="3">
          <reference field="4294967294" count="1" selected="0">
            <x v="0"/>
          </reference>
          <reference field="2" count="1" selected="0">
            <x v="8"/>
          </reference>
          <reference field="7" count="1" selected="0">
            <x v="2"/>
          </reference>
        </references>
      </pivotArea>
    </chartFormat>
    <chartFormat chart="21" format="48">
      <pivotArea type="data" outline="0" fieldPosition="0">
        <references count="3">
          <reference field="4294967294" count="1" selected="0">
            <x v="0"/>
          </reference>
          <reference field="2" count="1" selected="0">
            <x v="9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>
        <x14:conditionalFormats count="3">
          <x14:conditionalFormat priority="3" id="{3AB43149-94E0-45E5-A3AC-2904E15BCFA8}">
            <x14:pivotAreas count="1">
              <pivotArea type="data" outline="0" collapsedLevelsAreSubtotals="1" fieldPosition="0">
                <references count="2">
                  <reference field="4294967294" count="1" selected="0">
                    <x v="0"/>
                  </reference>
                  <reference field="7" count="1" selected="0">
                    <x v="0"/>
                  </reference>
                </references>
              </pivotArea>
            </x14:pivotAreas>
          </x14:conditionalFormat>
          <x14:conditionalFormat priority="2" id="{83BCB7C2-660E-4420-90E2-47D3EEAE7329}">
            <x14:pivotAreas count="1">
              <pivotArea type="data" collapsedLevelsAreSubtotals="1" fieldPosition="0">
                <references count="3">
                  <reference field="4294967294" count="1" selected="0">
                    <x v="0"/>
                  </reference>
                  <reference field="2" count="10">
                    <x v="0"/>
                    <x v="1"/>
                    <x v="2"/>
                    <x v="3"/>
                    <x v="4"/>
                    <x v="5"/>
                    <x v="6"/>
                    <x v="7"/>
                    <x v="8"/>
                    <x v="9"/>
                  </reference>
                  <reference field="7" count="1" selected="0">
                    <x v="2"/>
                  </reference>
                </references>
              </pivotArea>
            </x14:pivotAreas>
          </x14:conditionalFormat>
          <x14:conditionalFormat priority="1" id="{8488B430-8C86-4449-97F3-F2B566378D87}">
            <x14:pivotAreas count="1">
              <pivotArea type="data" collapsedLevelsAreSubtotals="1" fieldPosition="0">
                <references count="3">
                  <reference field="4294967294" count="1" selected="0">
                    <x v="0"/>
                  </reference>
                  <reference field="2" count="10">
                    <x v="0"/>
                    <x v="1"/>
                    <x v="2"/>
                    <x v="3"/>
                    <x v="4"/>
                    <x v="5"/>
                    <x v="6"/>
                    <x v="7"/>
                    <x v="8"/>
                    <x v="9"/>
                  </reference>
                  <reference field="7" count="1" selected="0">
                    <x v="1"/>
                  </reference>
                </references>
              </pivotArea>
            </x14:pivotAreas>
          </x14:conditionalFormat>
        </x14:conditionalFormats>
      </x14:pivotTableDefinition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E8BB03-FB15-46FB-BB33-35382221F9E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B9" firstHeaderRow="1" firstDataRow="1" firstDataCol="1"/>
  <pivotFields count="8">
    <pivotField dataField="1" showAll="0">
      <items count="488">
        <item x="107"/>
        <item x="459"/>
        <item x="20"/>
        <item x="414"/>
        <item x="91"/>
        <item x="146"/>
        <item x="484"/>
        <item x="373"/>
        <item x="348"/>
        <item x="369"/>
        <item x="285"/>
        <item x="221"/>
        <item x="268"/>
        <item x="194"/>
        <item x="322"/>
        <item x="428"/>
        <item x="364"/>
        <item x="408"/>
        <item x="264"/>
        <item x="383"/>
        <item x="316"/>
        <item x="168"/>
        <item x="119"/>
        <item x="152"/>
        <item x="272"/>
        <item x="278"/>
        <item x="42"/>
        <item x="417"/>
        <item x="455"/>
        <item x="299"/>
        <item x="134"/>
        <item x="24"/>
        <item x="286"/>
        <item x="271"/>
        <item x="450"/>
        <item x="292"/>
        <item x="19"/>
        <item x="85"/>
        <item x="438"/>
        <item x="219"/>
        <item x="473"/>
        <item x="282"/>
        <item x="41"/>
        <item x="51"/>
        <item x="71"/>
        <item x="112"/>
        <item x="93"/>
        <item x="482"/>
        <item x="424"/>
        <item x="0"/>
        <item x="293"/>
        <item x="409"/>
        <item x="210"/>
        <item x="167"/>
        <item x="359"/>
        <item x="12"/>
        <item x="254"/>
        <item x="328"/>
        <item x="341"/>
        <item x="436"/>
        <item x="358"/>
        <item x="218"/>
        <item x="169"/>
        <item x="390"/>
        <item x="229"/>
        <item x="200"/>
        <item x="179"/>
        <item x="422"/>
        <item x="115"/>
        <item x="238"/>
        <item x="251"/>
        <item x="371"/>
        <item x="44"/>
        <item x="1"/>
        <item x="296"/>
        <item x="475"/>
        <item x="4"/>
        <item x="29"/>
        <item x="180"/>
        <item x="456"/>
        <item x="14"/>
        <item x="23"/>
        <item x="154"/>
        <item x="310"/>
        <item x="442"/>
        <item x="27"/>
        <item x="55"/>
        <item x="6"/>
        <item x="65"/>
        <item x="183"/>
        <item x="253"/>
        <item x="207"/>
        <item x="235"/>
        <item x="470"/>
        <item x="244"/>
        <item x="193"/>
        <item x="178"/>
        <item x="393"/>
        <item x="22"/>
        <item x="343"/>
        <item x="142"/>
        <item x="84"/>
        <item x="375"/>
        <item x="388"/>
        <item x="117"/>
        <item x="463"/>
        <item x="277"/>
        <item x="242"/>
        <item x="198"/>
        <item x="223"/>
        <item x="433"/>
        <item x="260"/>
        <item x="421"/>
        <item x="94"/>
        <item x="73"/>
        <item x="224"/>
        <item x="31"/>
        <item x="342"/>
        <item x="230"/>
        <item x="102"/>
        <item x="449"/>
        <item x="468"/>
        <item x="325"/>
        <item x="18"/>
        <item x="401"/>
        <item x="344"/>
        <item x="82"/>
        <item x="10"/>
        <item x="225"/>
        <item x="189"/>
        <item x="131"/>
        <item x="255"/>
        <item x="467"/>
        <item x="266"/>
        <item x="83"/>
        <item x="81"/>
        <item x="192"/>
        <item x="361"/>
        <item x="5"/>
        <item x="15"/>
        <item x="127"/>
        <item x="170"/>
        <item x="100"/>
        <item x="186"/>
        <item x="324"/>
        <item x="331"/>
        <item x="289"/>
        <item x="290"/>
        <item x="49"/>
        <item x="486"/>
        <item x="309"/>
        <item x="69"/>
        <item x="337"/>
        <item x="399"/>
        <item x="360"/>
        <item x="372"/>
        <item x="106"/>
        <item x="64"/>
        <item x="346"/>
        <item x="185"/>
        <item x="130"/>
        <item x="129"/>
        <item x="30"/>
        <item x="120"/>
        <item x="259"/>
        <item x="239"/>
        <item x="177"/>
        <item x="389"/>
        <item x="274"/>
        <item x="265"/>
        <item x="335"/>
        <item x="246"/>
        <item x="135"/>
        <item x="313"/>
        <item x="437"/>
        <item x="53"/>
        <item x="8"/>
        <item x="315"/>
        <item x="447"/>
        <item x="252"/>
        <item x="367"/>
        <item x="216"/>
        <item x="382"/>
        <item x="321"/>
        <item x="184"/>
        <item x="298"/>
        <item x="125"/>
        <item x="175"/>
        <item x="462"/>
        <item x="62"/>
        <item x="56"/>
        <item x="144"/>
        <item x="208"/>
        <item x="275"/>
        <item x="261"/>
        <item x="46"/>
        <item x="280"/>
        <item x="250"/>
        <item x="440"/>
        <item x="68"/>
        <item x="303"/>
        <item x="101"/>
        <item x="74"/>
        <item x="67"/>
        <item x="273"/>
        <item x="199"/>
        <item x="306"/>
        <item x="406"/>
        <item x="377"/>
        <item x="256"/>
        <item x="314"/>
        <item x="445"/>
        <item x="410"/>
        <item x="226"/>
        <item x="379"/>
        <item x="9"/>
        <item x="236"/>
        <item x="206"/>
        <item x="156"/>
        <item x="160"/>
        <item x="352"/>
        <item x="172"/>
        <item x="48"/>
        <item x="355"/>
        <item x="215"/>
        <item x="233"/>
        <item x="430"/>
        <item x="441"/>
        <item x="270"/>
        <item x="155"/>
        <item x="479"/>
        <item x="78"/>
        <item x="70"/>
        <item x="380"/>
        <item x="240"/>
        <item x="384"/>
        <item x="323"/>
        <item x="79"/>
        <item x="318"/>
        <item x="311"/>
        <item x="357"/>
        <item x="407"/>
        <item x="232"/>
        <item x="288"/>
        <item x="395"/>
        <item x="212"/>
        <item x="345"/>
        <item x="478"/>
        <item x="458"/>
        <item x="209"/>
        <item x="96"/>
        <item x="269"/>
        <item x="405"/>
        <item x="88"/>
        <item x="50"/>
        <item x="163"/>
        <item x="32"/>
        <item x="465"/>
        <item x="439"/>
        <item x="26"/>
        <item x="443"/>
        <item x="137"/>
        <item x="245"/>
        <item x="366"/>
        <item x="77"/>
        <item x="385"/>
        <item x="28"/>
        <item x="330"/>
        <item x="287"/>
        <item x="47"/>
        <item x="350"/>
        <item x="153"/>
        <item x="365"/>
        <item x="466"/>
        <item x="334"/>
        <item x="109"/>
        <item x="97"/>
        <item x="11"/>
        <item x="213"/>
        <item x="145"/>
        <item x="283"/>
        <item x="173"/>
        <item x="472"/>
        <item x="66"/>
        <item x="267"/>
        <item x="37"/>
        <item x="34"/>
        <item x="138"/>
        <item x="161"/>
        <item x="412"/>
        <item x="354"/>
        <item x="92"/>
        <item x="220"/>
        <item x="114"/>
        <item x="461"/>
        <item x="349"/>
        <item x="434"/>
        <item x="52"/>
        <item x="453"/>
        <item x="98"/>
        <item x="477"/>
        <item x="58"/>
        <item x="241"/>
        <item x="59"/>
        <item x="279"/>
        <item x="228"/>
        <item x="391"/>
        <item x="386"/>
        <item x="340"/>
        <item x="305"/>
        <item x="378"/>
        <item x="157"/>
        <item x="187"/>
        <item x="176"/>
        <item x="396"/>
        <item x="126"/>
        <item x="460"/>
        <item x="110"/>
        <item x="21"/>
        <item x="418"/>
        <item x="90"/>
        <item x="174"/>
        <item x="141"/>
        <item x="237"/>
        <item x="276"/>
        <item x="217"/>
        <item x="182"/>
        <item x="291"/>
        <item x="231"/>
        <item x="39"/>
        <item x="362"/>
        <item x="374"/>
        <item x="432"/>
        <item x="397"/>
        <item x="304"/>
        <item x="454"/>
        <item x="402"/>
        <item x="485"/>
        <item x="111"/>
        <item x="353"/>
        <item x="446"/>
        <item x="243"/>
        <item x="123"/>
        <item x="248"/>
        <item x="136"/>
        <item x="13"/>
        <item x="214"/>
        <item x="166"/>
        <item x="122"/>
        <item x="43"/>
        <item x="262"/>
        <item x="471"/>
        <item x="263"/>
        <item x="347"/>
        <item x="104"/>
        <item x="150"/>
        <item x="356"/>
        <item x="165"/>
        <item x="425"/>
        <item x="332"/>
        <item x="132"/>
        <item x="196"/>
        <item x="415"/>
        <item x="457"/>
        <item x="151"/>
        <item x="413"/>
        <item x="197"/>
        <item x="61"/>
        <item x="435"/>
        <item x="326"/>
        <item x="143"/>
        <item x="403"/>
        <item x="149"/>
        <item x="394"/>
        <item x="25"/>
        <item x="38"/>
        <item x="284"/>
        <item x="400"/>
        <item x="444"/>
        <item x="181"/>
        <item x="3"/>
        <item x="113"/>
        <item x="420"/>
        <item x="387"/>
        <item x="202"/>
        <item x="188"/>
        <item x="158"/>
        <item x="36"/>
        <item x="191"/>
        <item x="203"/>
        <item x="7"/>
        <item x="95"/>
        <item x="72"/>
        <item x="164"/>
        <item x="99"/>
        <item x="195"/>
        <item x="35"/>
        <item x="257"/>
        <item x="121"/>
        <item x="327"/>
        <item x="381"/>
        <item x="427"/>
        <item x="295"/>
        <item x="258"/>
        <item x="411"/>
        <item x="116"/>
        <item x="63"/>
        <item x="294"/>
        <item x="16"/>
        <item x="464"/>
        <item x="419"/>
        <item x="54"/>
        <item x="481"/>
        <item x="300"/>
        <item x="302"/>
        <item x="329"/>
        <item x="234"/>
        <item x="368"/>
        <item x="60"/>
        <item x="128"/>
        <item x="45"/>
        <item x="103"/>
        <item x="426"/>
        <item x="249"/>
        <item x="133"/>
        <item x="416"/>
        <item x="159"/>
        <item x="17"/>
        <item x="480"/>
        <item x="398"/>
        <item x="89"/>
        <item x="404"/>
        <item x="140"/>
        <item x="312"/>
        <item x="336"/>
        <item x="476"/>
        <item x="204"/>
        <item x="308"/>
        <item x="222"/>
        <item x="320"/>
        <item x="124"/>
        <item x="392"/>
        <item x="57"/>
        <item x="281"/>
        <item x="452"/>
        <item x="333"/>
        <item x="351"/>
        <item x="201"/>
        <item x="190"/>
        <item x="76"/>
        <item x="171"/>
        <item x="75"/>
        <item x="118"/>
        <item x="451"/>
        <item x="429"/>
        <item x="469"/>
        <item x="86"/>
        <item x="105"/>
        <item x="431"/>
        <item x="339"/>
        <item x="338"/>
        <item x="108"/>
        <item x="87"/>
        <item x="474"/>
        <item x="317"/>
        <item x="247"/>
        <item x="147"/>
        <item x="33"/>
        <item x="448"/>
        <item x="148"/>
        <item x="370"/>
        <item x="80"/>
        <item x="307"/>
        <item x="211"/>
        <item x="40"/>
        <item x="205"/>
        <item x="297"/>
        <item x="139"/>
        <item x="227"/>
        <item x="423"/>
        <item x="483"/>
        <item x="376"/>
        <item x="301"/>
        <item x="162"/>
        <item x="319"/>
        <item x="363"/>
        <item x="2"/>
        <item t="default"/>
      </items>
    </pivotField>
    <pivotField showAll="0"/>
    <pivotField showAll="0">
      <items count="11">
        <item h="1" x="2"/>
        <item h="1" x="0"/>
        <item x="7"/>
        <item h="1" x="4"/>
        <item h="1" x="8"/>
        <item h="1" x="5"/>
        <item h="1" x="1"/>
        <item h="1" x="9"/>
        <item h="1" x="6"/>
        <item h="1" x="3"/>
        <item t="default"/>
      </items>
    </pivotField>
    <pivotField axis="axisRow" showAll="0">
      <items count="6">
        <item x="4"/>
        <item x="0"/>
        <item x="2"/>
        <item x="3"/>
        <item x="1"/>
        <item t="default"/>
      </items>
    </pivotField>
    <pivotField showAll="0"/>
    <pivotField numFmtId="164"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Feedback Number" fld="0" subtotal="count" baseField="3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7F1788-C358-4E6C-BC7F-0653059EEEB3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A3:B14" firstHeaderRow="1" firstDataRow="1" firstDataCol="1"/>
  <pivotFields count="8">
    <pivotField dataField="1" showAll="0"/>
    <pivotField showAll="0"/>
    <pivotField axis="axisRow" showAll="0">
      <items count="11">
        <item x="2"/>
        <item x="0"/>
        <item x="7"/>
        <item x="4"/>
        <item x="8"/>
        <item x="5"/>
        <item x="1"/>
        <item x="9"/>
        <item x="6"/>
        <item x="3"/>
        <item t="default"/>
      </items>
    </pivotField>
    <pivotField showAll="0"/>
    <pivotField showAll="0"/>
    <pivotField numFmtId="164" showAll="0"/>
    <pivotField showAll="0"/>
    <pivotField showAll="0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Feedback ID" fld="0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79703A-9534-4313-B1AE-8818704FDB2D}" name="Table1" displayName="Table1" ref="A1:H501" totalsRowShown="0" headerRowDxfId="29" dataDxfId="27" headerRowBorderDxfId="28" tableBorderDxfId="26">
  <autoFilter ref="A1:H501" xr:uid="{7D79703A-9534-4313-B1AE-8818704FDB2D}"/>
  <tableColumns count="8">
    <tableColumn id="1" xr3:uid="{790A832C-6253-41C0-B14B-0B937315F282}" name="Feedback ID" dataDxfId="25"/>
    <tableColumn id="2" xr3:uid="{801327F7-D49D-49F9-A75E-9488DB415B81}" name="Customer Name" dataDxfId="24"/>
    <tableColumn id="3" xr3:uid="{28A57FF0-589D-412B-AC9D-0B394B633F6E}" name="Product" dataDxfId="23"/>
    <tableColumn id="4" xr3:uid="{C5390A8F-D374-4E36-AA7A-215B8091DE56}" name="Rating" dataDxfId="22"/>
    <tableColumn id="5" xr3:uid="{B2DD8E4D-2798-4D30-B37C-C3D905A4E076}" name="Feedback Text" dataDxfId="21"/>
    <tableColumn id="6" xr3:uid="{1E3A251D-15C4-437B-93B3-48600206892D}" name="Date of Feedback" dataDxfId="20"/>
    <tableColumn id="7" xr3:uid="{CFC8763C-36C1-4E86-A0B6-4B425787BA51}" name="Month" dataDxfId="19">
      <calculatedColumnFormula>TEXT(F2,"mmm-yyyy")</calculatedColumnFormula>
    </tableColumn>
    <tableColumn id="8" xr3:uid="{D496DD5B-CA93-4564-9926-DD914EF6FB10}" name="Sentiment" dataDxfId="18">
      <calculatedColumnFormula>IF(D2&gt;=4,"Positive",IF(D2=3,"Neutral","Negative"))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81178A1-A46C-4502-8BF2-1B37A2E31143}">
  <we:reference id="wa200008989" version="1.0.0.4" store="en-US" storeType="OMEX"/>
  <we:alternateReferences>
    <we:reference id="wa200008989" version="1.0.0.4" store="en-US" storeType="OMEX"/>
  </we:alternateReferences>
  <we:properties>
    <we:property name="Office.ForceRefreshCustomFunctionsCache" value="true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_xldudf_COREGPT</we:customFunctionIds>
        <we:customFunctionIds>_xldudf_COREGPT_TRANSLATE</we:customFunctionIds>
        <we:customFunctionIds>_xldudf_COREGPT_EXTRACT</we:customFunctionIds>
        <we:customFunctionIds>_xldudf_COREGPT_FORMAT</we:customFunctionIds>
        <we:customFunctionIds>_xldudf_COREGPT_SUMMARIZE</we:customFunctionIds>
        <we:customFunctionIds>_xldudf_COREGPT_CLASSIFY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BACAA-10CA-4A15-83BC-67D2E21C4009}">
  <dimension ref="A3:B17"/>
  <sheetViews>
    <sheetView workbookViewId="0">
      <pane ySplit="3" topLeftCell="A4" activePane="bottomLeft" state="frozen"/>
      <selection pane="bottomLeft" activeCell="B6" sqref="B6"/>
    </sheetView>
  </sheetViews>
  <sheetFormatPr defaultRowHeight="15" x14ac:dyDescent="0.25"/>
  <cols>
    <col min="1" max="1" width="13.140625" bestFit="1" customWidth="1"/>
    <col min="2" max="2" width="20" bestFit="1" customWidth="1"/>
  </cols>
  <sheetData>
    <row r="3" spans="1:2" x14ac:dyDescent="0.25">
      <c r="A3" s="4" t="s">
        <v>525</v>
      </c>
      <c r="B3" t="s">
        <v>527</v>
      </c>
    </row>
    <row r="4" spans="1:2" x14ac:dyDescent="0.25">
      <c r="A4" s="5" t="s">
        <v>539</v>
      </c>
      <c r="B4" s="49">
        <v>42</v>
      </c>
    </row>
    <row r="5" spans="1:2" x14ac:dyDescent="0.25">
      <c r="A5" s="5" t="s">
        <v>532</v>
      </c>
      <c r="B5" s="49">
        <v>23</v>
      </c>
    </row>
    <row r="6" spans="1:2" x14ac:dyDescent="0.25">
      <c r="A6" s="5" t="s">
        <v>537</v>
      </c>
      <c r="B6" s="49">
        <v>26</v>
      </c>
    </row>
    <row r="7" spans="1:2" x14ac:dyDescent="0.25">
      <c r="A7" s="5" t="s">
        <v>534</v>
      </c>
      <c r="B7" s="49">
        <v>40</v>
      </c>
    </row>
    <row r="8" spans="1:2" x14ac:dyDescent="0.25">
      <c r="A8" s="5" t="s">
        <v>540</v>
      </c>
      <c r="B8" s="49">
        <v>43</v>
      </c>
    </row>
    <row r="9" spans="1:2" x14ac:dyDescent="0.25">
      <c r="A9" s="5" t="s">
        <v>530</v>
      </c>
      <c r="B9" s="49">
        <v>43</v>
      </c>
    </row>
    <row r="10" spans="1:2" x14ac:dyDescent="0.25">
      <c r="A10" s="5" t="s">
        <v>538</v>
      </c>
      <c r="B10" s="49">
        <v>39</v>
      </c>
    </row>
    <row r="11" spans="1:2" x14ac:dyDescent="0.25">
      <c r="A11" s="5" t="s">
        <v>531</v>
      </c>
      <c r="B11" s="49">
        <v>35</v>
      </c>
    </row>
    <row r="12" spans="1:2" x14ac:dyDescent="0.25">
      <c r="A12" s="5" t="s">
        <v>533</v>
      </c>
      <c r="B12" s="49">
        <v>41</v>
      </c>
    </row>
    <row r="13" spans="1:2" x14ac:dyDescent="0.25">
      <c r="A13" s="5" t="s">
        <v>535</v>
      </c>
      <c r="B13" s="49">
        <v>45</v>
      </c>
    </row>
    <row r="14" spans="1:2" x14ac:dyDescent="0.25">
      <c r="A14" s="5" t="s">
        <v>541</v>
      </c>
      <c r="B14" s="49">
        <v>40</v>
      </c>
    </row>
    <row r="15" spans="1:2" x14ac:dyDescent="0.25">
      <c r="A15" s="5" t="s">
        <v>536</v>
      </c>
      <c r="B15" s="49">
        <v>45</v>
      </c>
    </row>
    <row r="16" spans="1:2" x14ac:dyDescent="0.25">
      <c r="A16" s="5" t="s">
        <v>529</v>
      </c>
      <c r="B16" s="49">
        <v>38</v>
      </c>
    </row>
    <row r="17" spans="1:2" x14ac:dyDescent="0.25">
      <c r="A17" s="5" t="s">
        <v>526</v>
      </c>
      <c r="B17" s="49">
        <v>500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F51FC-705A-4B6F-B29A-739A1EC8EDA9}">
  <dimension ref="A2:H15"/>
  <sheetViews>
    <sheetView workbookViewId="0">
      <selection activeCell="C7" sqref="C7"/>
    </sheetView>
  </sheetViews>
  <sheetFormatPr defaultRowHeight="15" x14ac:dyDescent="0.25"/>
  <cols>
    <col min="1" max="1" width="20" bestFit="1" customWidth="1"/>
    <col min="2" max="2" width="18.5703125" bestFit="1" customWidth="1"/>
    <col min="3" max="3" width="8.5703125" customWidth="1"/>
    <col min="4" max="4" width="8.140625" bestFit="1" customWidth="1"/>
    <col min="5" max="5" width="11.28515625" bestFit="1" customWidth="1"/>
    <col min="6" max="6" width="8.28515625" bestFit="1" customWidth="1"/>
    <col min="7" max="8" width="7.140625" bestFit="1" customWidth="1"/>
    <col min="9" max="9" width="11.85546875" bestFit="1" customWidth="1"/>
    <col min="10" max="10" width="11.42578125" bestFit="1" customWidth="1"/>
    <col min="11" max="11" width="6.5703125" bestFit="1" customWidth="1"/>
    <col min="12" max="12" width="11.28515625" bestFit="1" customWidth="1"/>
  </cols>
  <sheetData>
    <row r="2" spans="1:8" ht="15.75" thickBot="1" x14ac:dyDescent="0.3"/>
    <row r="3" spans="1:8" ht="15.75" thickBot="1" x14ac:dyDescent="0.3">
      <c r="A3" s="7" t="s">
        <v>527</v>
      </c>
      <c r="B3" s="7" t="s">
        <v>543</v>
      </c>
      <c r="C3" s="7"/>
      <c r="D3" s="7"/>
      <c r="E3" s="7"/>
    </row>
    <row r="4" spans="1:8" ht="15.75" thickBot="1" x14ac:dyDescent="0.3">
      <c r="A4" s="7" t="s">
        <v>595</v>
      </c>
      <c r="B4" s="7" t="s">
        <v>543</v>
      </c>
      <c r="C4" s="7" t="s">
        <v>544</v>
      </c>
      <c r="D4" s="7" t="s">
        <v>528</v>
      </c>
      <c r="E4" s="7" t="s">
        <v>526</v>
      </c>
      <c r="G4" t="str">
        <f>_xlfn.XLOOKUP(MAX(B2:B10), B2:B10, A2:A10)</f>
        <v>Mouse</v>
      </c>
      <c r="H4">
        <f>MAX(A5:B14)</f>
        <v>27</v>
      </c>
    </row>
    <row r="5" spans="1:8" ht="15.75" thickBot="1" x14ac:dyDescent="0.3">
      <c r="A5" s="6" t="s">
        <v>505</v>
      </c>
      <c r="B5" s="6">
        <v>17</v>
      </c>
      <c r="C5" s="6">
        <v>12</v>
      </c>
      <c r="D5" s="6">
        <v>20</v>
      </c>
      <c r="E5" s="6">
        <v>49</v>
      </c>
      <c r="G5" t="str">
        <f>_xlfn.XLOOKUP(MIN(B2:B10), B2:B10, A2:A10)</f>
        <v>Camera</v>
      </c>
    </row>
    <row r="6" spans="1:8" ht="15.75" thickBot="1" x14ac:dyDescent="0.3">
      <c r="A6" s="6" t="s">
        <v>503</v>
      </c>
      <c r="B6" s="6">
        <v>22</v>
      </c>
      <c r="C6" s="6">
        <v>3</v>
      </c>
      <c r="D6" s="6">
        <v>17</v>
      </c>
      <c r="E6" s="6">
        <v>42</v>
      </c>
    </row>
    <row r="7" spans="1:8" ht="15.75" thickBot="1" x14ac:dyDescent="0.3">
      <c r="A7" s="6" t="s">
        <v>510</v>
      </c>
      <c r="B7" s="6">
        <v>24</v>
      </c>
      <c r="C7" s="6">
        <v>10</v>
      </c>
      <c r="D7" s="6">
        <v>20</v>
      </c>
      <c r="E7" s="6">
        <v>54</v>
      </c>
    </row>
    <row r="8" spans="1:8" ht="15.75" thickBot="1" x14ac:dyDescent="0.3">
      <c r="A8" s="6" t="s">
        <v>507</v>
      </c>
      <c r="B8" s="6">
        <v>21</v>
      </c>
      <c r="C8" s="6">
        <v>16</v>
      </c>
      <c r="D8" s="6">
        <v>27</v>
      </c>
      <c r="E8" s="6">
        <v>64</v>
      </c>
    </row>
    <row r="9" spans="1:8" ht="15.75" thickBot="1" x14ac:dyDescent="0.3">
      <c r="A9" s="6" t="s">
        <v>511</v>
      </c>
      <c r="B9" s="6">
        <v>25</v>
      </c>
      <c r="C9" s="6">
        <v>5</v>
      </c>
      <c r="D9" s="6">
        <v>18</v>
      </c>
      <c r="E9" s="6">
        <v>48</v>
      </c>
    </row>
    <row r="10" spans="1:8" ht="15.75" thickBot="1" x14ac:dyDescent="0.3">
      <c r="A10" s="6" t="s">
        <v>508</v>
      </c>
      <c r="B10" s="6">
        <v>27</v>
      </c>
      <c r="C10" s="6">
        <v>12</v>
      </c>
      <c r="D10" s="6">
        <v>19</v>
      </c>
      <c r="E10" s="6">
        <v>58</v>
      </c>
    </row>
    <row r="11" spans="1:8" ht="15.75" thickBot="1" x14ac:dyDescent="0.3">
      <c r="A11" s="6" t="s">
        <v>504</v>
      </c>
      <c r="B11" s="6">
        <v>13</v>
      </c>
      <c r="C11" s="6">
        <v>12</v>
      </c>
      <c r="D11" s="6">
        <v>18</v>
      </c>
      <c r="E11" s="6">
        <v>43</v>
      </c>
    </row>
    <row r="12" spans="1:8" ht="15.75" thickBot="1" x14ac:dyDescent="0.3">
      <c r="A12" s="6" t="s">
        <v>512</v>
      </c>
      <c r="B12" s="6">
        <v>17</v>
      </c>
      <c r="C12" s="6">
        <v>9</v>
      </c>
      <c r="D12" s="6">
        <v>20</v>
      </c>
      <c r="E12" s="6">
        <v>46</v>
      </c>
    </row>
    <row r="13" spans="1:8" ht="15.75" thickBot="1" x14ac:dyDescent="0.3">
      <c r="A13" s="6" t="s">
        <v>509</v>
      </c>
      <c r="B13" s="6">
        <v>19</v>
      </c>
      <c r="C13" s="6">
        <v>13</v>
      </c>
      <c r="D13" s="6">
        <v>19</v>
      </c>
      <c r="E13" s="6">
        <v>51</v>
      </c>
    </row>
    <row r="14" spans="1:8" ht="15.75" thickBot="1" x14ac:dyDescent="0.3">
      <c r="A14" s="6" t="s">
        <v>506</v>
      </c>
      <c r="B14" s="6">
        <v>23</v>
      </c>
      <c r="C14" s="6">
        <v>9</v>
      </c>
      <c r="D14" s="6">
        <v>13</v>
      </c>
      <c r="E14" s="6">
        <v>45</v>
      </c>
    </row>
    <row r="15" spans="1:8" ht="15.75" thickBot="1" x14ac:dyDescent="0.3">
      <c r="A15" s="6" t="s">
        <v>526</v>
      </c>
      <c r="B15" s="6">
        <v>208</v>
      </c>
      <c r="C15" s="6">
        <v>101</v>
      </c>
      <c r="D15" s="6">
        <v>191</v>
      </c>
      <c r="E15" s="6">
        <v>500</v>
      </c>
    </row>
  </sheetData>
  <pageMargins left="0.7" right="0.7" top="0.75" bottom="0.75" header="0.3" footer="0.3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iconSet" priority="3" id="{3AB43149-94E0-45E5-A3AC-2904E15BCFA8}">
            <x14:iconSet custom="1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  <x14:cfIcon iconSet="3TrafficLights1" iconId="0"/>
              <x14:cfIcon iconSet="3TrafficLights1" iconId="0"/>
              <x14:cfIcon iconSet="3TrafficLights1" iconId="0"/>
            </x14:iconSet>
          </x14:cfRule>
          <xm:sqref>B5:B15</xm:sqref>
        </x14:conditionalFormatting>
        <x14:conditionalFormatting xmlns:xm="http://schemas.microsoft.com/office/excel/2006/main" pivot="1">
          <x14:cfRule type="iconSet" priority="2" id="{83BCB7C2-660E-4420-90E2-47D3EEAE7329}">
            <x14:iconSet custom="1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  <x14:cfIcon iconSet="3TrafficLights1" iconId="2"/>
              <x14:cfIcon iconSet="3TrafficLights1" iconId="2"/>
              <x14:cfIcon iconSet="3TrafficLights1" iconId="2"/>
            </x14:iconSet>
          </x14:cfRule>
          <xm:sqref>D5:D14</xm:sqref>
        </x14:conditionalFormatting>
        <x14:conditionalFormatting xmlns:xm="http://schemas.microsoft.com/office/excel/2006/main" pivot="1">
          <x14:cfRule type="iconSet" priority="1" id="{8488B430-8C86-4449-97F3-F2B566378D87}">
            <x14:iconSet custom="1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  <x14:cfIcon iconSet="3TrafficLights1" iconId="1"/>
              <x14:cfIcon iconSet="3TrafficLights1" iconId="1"/>
              <x14:cfIcon iconSet="3TrafficLights1" iconId="1"/>
            </x14:iconSet>
          </x14:cfRule>
          <xm:sqref>C5:C14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1"/>
  <sheetViews>
    <sheetView workbookViewId="0">
      <selection activeCell="D1" sqref="D1:D1048576"/>
    </sheetView>
  </sheetViews>
  <sheetFormatPr defaultRowHeight="15" x14ac:dyDescent="0.25"/>
  <cols>
    <col min="1" max="1" width="13.85546875" customWidth="1"/>
    <col min="2" max="2" width="17.42578125" customWidth="1"/>
    <col min="3" max="3" width="12.42578125" bestFit="1" customWidth="1"/>
    <col min="4" max="4" width="11.140625" bestFit="1" customWidth="1"/>
    <col min="5" max="5" width="55.7109375" bestFit="1" customWidth="1"/>
    <col min="6" max="6" width="18.42578125" customWidth="1"/>
    <col min="7" max="7" width="11.5703125" bestFit="1" customWidth="1"/>
    <col min="8" max="8" width="14.855468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523</v>
      </c>
      <c r="H1" s="1" t="s">
        <v>524</v>
      </c>
    </row>
    <row r="2" spans="1:8" x14ac:dyDescent="0.25">
      <c r="A2" s="2" t="s">
        <v>6</v>
      </c>
      <c r="B2" s="2" t="s">
        <v>493</v>
      </c>
      <c r="C2" s="2" t="s">
        <v>503</v>
      </c>
      <c r="D2" s="2">
        <v>2</v>
      </c>
      <c r="E2" s="2" t="s">
        <v>513</v>
      </c>
      <c r="F2" s="3">
        <v>45833.266031120591</v>
      </c>
      <c r="G2" s="2" t="str">
        <f t="shared" ref="G2:G65" si="0">TEXT(F2,"mmm-yyyy")</f>
        <v>Jun-2025</v>
      </c>
      <c r="H2" s="2" t="str">
        <f t="shared" ref="H2:H65" si="1">IF(D2&gt;=4,"Positive",IF(D2=3,"Neutral","Negative"))</f>
        <v>Negative</v>
      </c>
    </row>
    <row r="3" spans="1:8" x14ac:dyDescent="0.25">
      <c r="A3" s="2" t="s">
        <v>7</v>
      </c>
      <c r="B3" s="2" t="s">
        <v>494</v>
      </c>
      <c r="C3" s="2" t="s">
        <v>504</v>
      </c>
      <c r="D3" s="2">
        <v>5</v>
      </c>
      <c r="E3" s="2" t="s">
        <v>514</v>
      </c>
      <c r="F3" s="3">
        <v>45719.266031120707</v>
      </c>
      <c r="G3" s="2" t="str">
        <f t="shared" si="0"/>
        <v>Mar-2025</v>
      </c>
      <c r="H3" s="2" t="str">
        <f t="shared" si="1"/>
        <v>Positive</v>
      </c>
    </row>
    <row r="4" spans="1:8" x14ac:dyDescent="0.25">
      <c r="A4" s="2" t="s">
        <v>8</v>
      </c>
      <c r="B4" s="2" t="s">
        <v>494</v>
      </c>
      <c r="C4" s="2" t="s">
        <v>505</v>
      </c>
      <c r="D4" s="2">
        <v>5</v>
      </c>
      <c r="E4" s="2" t="s">
        <v>514</v>
      </c>
      <c r="F4" s="3">
        <v>45645.266031120773</v>
      </c>
      <c r="G4" s="2" t="str">
        <f t="shared" si="0"/>
        <v>Dec-2024</v>
      </c>
      <c r="H4" s="2" t="str">
        <f t="shared" si="1"/>
        <v>Positive</v>
      </c>
    </row>
    <row r="5" spans="1:8" x14ac:dyDescent="0.25">
      <c r="A5" s="2" t="s">
        <v>9</v>
      </c>
      <c r="B5" s="2" t="s">
        <v>495</v>
      </c>
      <c r="C5" s="2" t="s">
        <v>506</v>
      </c>
      <c r="D5" s="2">
        <v>3</v>
      </c>
      <c r="E5" s="2" t="s">
        <v>515</v>
      </c>
      <c r="F5" s="3">
        <v>45865.266031120816</v>
      </c>
      <c r="G5" s="2" t="str">
        <f t="shared" si="0"/>
        <v>Jul-2025</v>
      </c>
      <c r="H5" s="2" t="str">
        <f t="shared" si="1"/>
        <v>Neutral</v>
      </c>
    </row>
    <row r="6" spans="1:8" x14ac:dyDescent="0.25">
      <c r="A6" s="2" t="s">
        <v>10</v>
      </c>
      <c r="B6" s="2" t="s">
        <v>496</v>
      </c>
      <c r="C6" s="2" t="s">
        <v>507</v>
      </c>
      <c r="D6" s="2">
        <v>5</v>
      </c>
      <c r="E6" s="2" t="s">
        <v>516</v>
      </c>
      <c r="F6" s="3">
        <v>45726.266031120867</v>
      </c>
      <c r="G6" s="2" t="str">
        <f t="shared" si="0"/>
        <v>Mar-2025</v>
      </c>
      <c r="H6" s="2" t="str">
        <f t="shared" si="1"/>
        <v>Positive</v>
      </c>
    </row>
    <row r="7" spans="1:8" x14ac:dyDescent="0.25">
      <c r="A7" s="2" t="s">
        <v>11</v>
      </c>
      <c r="B7" s="2" t="s">
        <v>497</v>
      </c>
      <c r="C7" s="2" t="s">
        <v>507</v>
      </c>
      <c r="D7" s="2">
        <v>5</v>
      </c>
      <c r="E7" s="2" t="s">
        <v>517</v>
      </c>
      <c r="F7" s="3">
        <v>45544.266031120911</v>
      </c>
      <c r="G7" s="2" t="str">
        <f t="shared" si="0"/>
        <v>Sep-2024</v>
      </c>
      <c r="H7" s="2" t="str">
        <f t="shared" si="1"/>
        <v>Positive</v>
      </c>
    </row>
    <row r="8" spans="1:8" x14ac:dyDescent="0.25">
      <c r="A8" s="2" t="s">
        <v>12</v>
      </c>
      <c r="B8" s="2" t="s">
        <v>493</v>
      </c>
      <c r="C8" s="2" t="s">
        <v>508</v>
      </c>
      <c r="D8" s="2">
        <v>3</v>
      </c>
      <c r="E8" s="2" t="s">
        <v>515</v>
      </c>
      <c r="F8" s="3">
        <v>45709.266031120962</v>
      </c>
      <c r="G8" s="2" t="str">
        <f t="shared" si="0"/>
        <v>Feb-2025</v>
      </c>
      <c r="H8" s="2" t="str">
        <f t="shared" si="1"/>
        <v>Neutral</v>
      </c>
    </row>
    <row r="9" spans="1:8" x14ac:dyDescent="0.25">
      <c r="A9" s="2" t="s">
        <v>13</v>
      </c>
      <c r="B9" s="2" t="s">
        <v>496</v>
      </c>
      <c r="C9" s="2" t="s">
        <v>509</v>
      </c>
      <c r="D9" s="2">
        <v>5</v>
      </c>
      <c r="E9" s="2" t="s">
        <v>517</v>
      </c>
      <c r="F9" s="3">
        <v>45837.26603112102</v>
      </c>
      <c r="G9" s="2" t="str">
        <f t="shared" si="0"/>
        <v>Jun-2025</v>
      </c>
      <c r="H9" s="2" t="str">
        <f t="shared" si="1"/>
        <v>Positive</v>
      </c>
    </row>
    <row r="10" spans="1:8" x14ac:dyDescent="0.25">
      <c r="A10" s="2" t="s">
        <v>14</v>
      </c>
      <c r="B10" s="2" t="s">
        <v>495</v>
      </c>
      <c r="C10" s="2" t="s">
        <v>504</v>
      </c>
      <c r="D10" s="2">
        <v>3</v>
      </c>
      <c r="E10" s="2" t="s">
        <v>513</v>
      </c>
      <c r="F10" s="3">
        <v>45768.266031121078</v>
      </c>
      <c r="G10" s="2" t="str">
        <f t="shared" si="0"/>
        <v>Apr-2025</v>
      </c>
      <c r="H10" s="2" t="str">
        <f t="shared" si="1"/>
        <v>Neutral</v>
      </c>
    </row>
    <row r="11" spans="1:8" x14ac:dyDescent="0.25">
      <c r="A11" s="2" t="s">
        <v>15</v>
      </c>
      <c r="B11" s="2" t="s">
        <v>497</v>
      </c>
      <c r="C11" s="2" t="s">
        <v>505</v>
      </c>
      <c r="D11" s="2">
        <v>2</v>
      </c>
      <c r="E11" s="2" t="s">
        <v>515</v>
      </c>
      <c r="F11" s="3">
        <v>45861.266031121122</v>
      </c>
      <c r="G11" s="2" t="str">
        <f t="shared" si="0"/>
        <v>Jul-2025</v>
      </c>
      <c r="H11" s="2" t="str">
        <f t="shared" si="1"/>
        <v>Negative</v>
      </c>
    </row>
    <row r="12" spans="1:8" x14ac:dyDescent="0.25">
      <c r="A12" s="2" t="s">
        <v>16</v>
      </c>
      <c r="B12" s="2" t="s">
        <v>493</v>
      </c>
      <c r="C12" s="2" t="s">
        <v>507</v>
      </c>
      <c r="D12" s="2">
        <v>5</v>
      </c>
      <c r="E12" s="2" t="s">
        <v>518</v>
      </c>
      <c r="F12" s="3">
        <v>45670.266031121173</v>
      </c>
      <c r="G12" s="2" t="str">
        <f t="shared" si="0"/>
        <v>Jan-2025</v>
      </c>
      <c r="H12" s="2" t="str">
        <f t="shared" si="1"/>
        <v>Positive</v>
      </c>
    </row>
    <row r="13" spans="1:8" x14ac:dyDescent="0.25">
      <c r="A13" s="2" t="s">
        <v>17</v>
      </c>
      <c r="B13" s="2" t="s">
        <v>498</v>
      </c>
      <c r="C13" s="2" t="s">
        <v>507</v>
      </c>
      <c r="D13" s="2">
        <v>1</v>
      </c>
      <c r="E13" s="2" t="s">
        <v>519</v>
      </c>
      <c r="F13" s="3">
        <v>45844.266031121202</v>
      </c>
      <c r="G13" s="2" t="str">
        <f t="shared" si="0"/>
        <v>Jul-2025</v>
      </c>
      <c r="H13" s="2" t="str">
        <f t="shared" si="1"/>
        <v>Negative</v>
      </c>
    </row>
    <row r="14" spans="1:8" x14ac:dyDescent="0.25">
      <c r="A14" s="2" t="s">
        <v>18</v>
      </c>
      <c r="B14" s="2" t="s">
        <v>499</v>
      </c>
      <c r="C14" s="2" t="s">
        <v>505</v>
      </c>
      <c r="D14" s="2">
        <v>4</v>
      </c>
      <c r="E14" s="2" t="s">
        <v>515</v>
      </c>
      <c r="F14" s="3">
        <v>45712.266031121253</v>
      </c>
      <c r="G14" s="2" t="str">
        <f t="shared" si="0"/>
        <v>Feb-2025</v>
      </c>
      <c r="H14" s="2" t="str">
        <f t="shared" si="1"/>
        <v>Positive</v>
      </c>
    </row>
    <row r="15" spans="1:8" x14ac:dyDescent="0.25">
      <c r="A15" s="2" t="s">
        <v>19</v>
      </c>
      <c r="B15" s="2" t="s">
        <v>494</v>
      </c>
      <c r="C15" s="2" t="s">
        <v>510</v>
      </c>
      <c r="D15" s="2">
        <v>4</v>
      </c>
      <c r="E15" s="2" t="s">
        <v>520</v>
      </c>
      <c r="F15" s="3">
        <v>45686.266031121297</v>
      </c>
      <c r="G15" s="2" t="str">
        <f t="shared" si="0"/>
        <v>Jan-2025</v>
      </c>
      <c r="H15" s="2" t="str">
        <f t="shared" si="1"/>
        <v>Positive</v>
      </c>
    </row>
    <row r="16" spans="1:8" x14ac:dyDescent="0.25">
      <c r="A16" s="2" t="s">
        <v>20</v>
      </c>
      <c r="B16" s="2" t="s">
        <v>497</v>
      </c>
      <c r="C16" s="2" t="s">
        <v>503</v>
      </c>
      <c r="D16" s="2">
        <v>1</v>
      </c>
      <c r="E16" s="2" t="s">
        <v>515</v>
      </c>
      <c r="F16" s="3">
        <v>45542.266031121333</v>
      </c>
      <c r="G16" s="2" t="str">
        <f t="shared" si="0"/>
        <v>Sep-2024</v>
      </c>
      <c r="H16" s="2" t="str">
        <f t="shared" si="1"/>
        <v>Negative</v>
      </c>
    </row>
    <row r="17" spans="1:8" x14ac:dyDescent="0.25">
      <c r="A17" s="2" t="s">
        <v>21</v>
      </c>
      <c r="B17" s="2" t="s">
        <v>500</v>
      </c>
      <c r="C17" s="2" t="s">
        <v>511</v>
      </c>
      <c r="D17" s="2">
        <v>3</v>
      </c>
      <c r="E17" s="2" t="s">
        <v>519</v>
      </c>
      <c r="F17" s="3">
        <v>45616.266031121362</v>
      </c>
      <c r="G17" s="2" t="str">
        <f t="shared" si="0"/>
        <v>Nov-2024</v>
      </c>
      <c r="H17" s="2" t="str">
        <f t="shared" si="1"/>
        <v>Neutral</v>
      </c>
    </row>
    <row r="18" spans="1:8" x14ac:dyDescent="0.25">
      <c r="A18" s="2" t="s">
        <v>22</v>
      </c>
      <c r="B18" s="2" t="s">
        <v>495</v>
      </c>
      <c r="C18" s="2" t="s">
        <v>506</v>
      </c>
      <c r="D18" s="2">
        <v>3</v>
      </c>
      <c r="E18" s="2" t="s">
        <v>513</v>
      </c>
      <c r="F18" s="3">
        <v>45671.266031121508</v>
      </c>
      <c r="G18" s="2" t="str">
        <f t="shared" si="0"/>
        <v>Jan-2025</v>
      </c>
      <c r="H18" s="2" t="str">
        <f t="shared" si="1"/>
        <v>Neutral</v>
      </c>
    </row>
    <row r="19" spans="1:8" x14ac:dyDescent="0.25">
      <c r="A19" s="2" t="s">
        <v>23</v>
      </c>
      <c r="B19" s="2" t="s">
        <v>497</v>
      </c>
      <c r="C19" s="2" t="s">
        <v>508</v>
      </c>
      <c r="D19" s="2">
        <v>3</v>
      </c>
      <c r="E19" s="2" t="s">
        <v>518</v>
      </c>
      <c r="F19" s="3">
        <v>45582.266031121551</v>
      </c>
      <c r="G19" s="2" t="str">
        <f t="shared" si="0"/>
        <v>Oct-2024</v>
      </c>
      <c r="H19" s="2" t="str">
        <f t="shared" si="1"/>
        <v>Neutral</v>
      </c>
    </row>
    <row r="20" spans="1:8" x14ac:dyDescent="0.25">
      <c r="A20" s="2" t="s">
        <v>24</v>
      </c>
      <c r="B20" s="2" t="s">
        <v>493</v>
      </c>
      <c r="C20" s="2" t="s">
        <v>506</v>
      </c>
      <c r="D20" s="2">
        <v>2</v>
      </c>
      <c r="E20" s="2" t="s">
        <v>517</v>
      </c>
      <c r="F20" s="3">
        <v>45872.266031121602</v>
      </c>
      <c r="G20" s="2" t="str">
        <f t="shared" si="0"/>
        <v>Aug-2025</v>
      </c>
      <c r="H20" s="2" t="str">
        <f t="shared" si="1"/>
        <v>Negative</v>
      </c>
    </row>
    <row r="21" spans="1:8" x14ac:dyDescent="0.25">
      <c r="A21" s="2" t="s">
        <v>25</v>
      </c>
      <c r="B21" s="2" t="s">
        <v>500</v>
      </c>
      <c r="C21" s="2" t="s">
        <v>508</v>
      </c>
      <c r="D21" s="2">
        <v>1</v>
      </c>
      <c r="E21" s="2" t="s">
        <v>520</v>
      </c>
      <c r="F21" s="3">
        <v>45887.266031121631</v>
      </c>
      <c r="G21" s="2" t="str">
        <f t="shared" si="0"/>
        <v>Aug-2025</v>
      </c>
      <c r="H21" s="2" t="str">
        <f t="shared" si="1"/>
        <v>Negative</v>
      </c>
    </row>
    <row r="22" spans="1:8" x14ac:dyDescent="0.25">
      <c r="A22" s="2" t="s">
        <v>26</v>
      </c>
      <c r="B22" s="2" t="s">
        <v>496</v>
      </c>
      <c r="C22" s="2" t="s">
        <v>506</v>
      </c>
      <c r="D22" s="2">
        <v>3</v>
      </c>
      <c r="E22" s="2" t="s">
        <v>514</v>
      </c>
      <c r="F22" s="3">
        <v>45527.266031121682</v>
      </c>
      <c r="G22" s="2" t="str">
        <f t="shared" si="0"/>
        <v>Aug-2024</v>
      </c>
      <c r="H22" s="2" t="str">
        <f t="shared" si="1"/>
        <v>Neutral</v>
      </c>
    </row>
    <row r="23" spans="1:8" x14ac:dyDescent="0.25">
      <c r="A23" s="2" t="s">
        <v>27</v>
      </c>
      <c r="B23" s="2" t="s">
        <v>494</v>
      </c>
      <c r="C23" s="2" t="s">
        <v>504</v>
      </c>
      <c r="D23" s="2">
        <v>5</v>
      </c>
      <c r="E23" s="2" t="s">
        <v>519</v>
      </c>
      <c r="F23" s="3">
        <v>45858.266031121711</v>
      </c>
      <c r="G23" s="2" t="str">
        <f t="shared" si="0"/>
        <v>Jul-2025</v>
      </c>
      <c r="H23" s="2" t="str">
        <f t="shared" si="1"/>
        <v>Positive</v>
      </c>
    </row>
    <row r="24" spans="1:8" x14ac:dyDescent="0.25">
      <c r="A24" s="2" t="s">
        <v>28</v>
      </c>
      <c r="B24" s="2" t="s">
        <v>495</v>
      </c>
      <c r="C24" s="2" t="s">
        <v>507</v>
      </c>
      <c r="D24" s="2">
        <v>4</v>
      </c>
      <c r="E24" s="2" t="s">
        <v>513</v>
      </c>
      <c r="F24" s="3">
        <v>45538.266031121748</v>
      </c>
      <c r="G24" s="2" t="str">
        <f t="shared" si="0"/>
        <v>Sep-2024</v>
      </c>
      <c r="H24" s="2" t="str">
        <f t="shared" si="1"/>
        <v>Positive</v>
      </c>
    </row>
    <row r="25" spans="1:8" x14ac:dyDescent="0.25">
      <c r="A25" s="2" t="s">
        <v>29</v>
      </c>
      <c r="B25" s="2" t="s">
        <v>498</v>
      </c>
      <c r="C25" s="2" t="s">
        <v>506</v>
      </c>
      <c r="D25" s="2">
        <v>1</v>
      </c>
      <c r="E25" s="2" t="s">
        <v>514</v>
      </c>
      <c r="F25" s="3">
        <v>45796.266031121777</v>
      </c>
      <c r="G25" s="2" t="str">
        <f t="shared" si="0"/>
        <v>May-2025</v>
      </c>
      <c r="H25" s="2" t="str">
        <f t="shared" si="1"/>
        <v>Negative</v>
      </c>
    </row>
    <row r="26" spans="1:8" x14ac:dyDescent="0.25">
      <c r="A26" s="2" t="s">
        <v>30</v>
      </c>
      <c r="B26" s="2" t="s">
        <v>496</v>
      </c>
      <c r="C26" s="2" t="s">
        <v>510</v>
      </c>
      <c r="D26" s="2">
        <v>2</v>
      </c>
      <c r="E26" s="2" t="s">
        <v>514</v>
      </c>
      <c r="F26" s="3">
        <v>45692.266031121842</v>
      </c>
      <c r="G26" s="2" t="str">
        <f t="shared" si="0"/>
        <v>Feb-2025</v>
      </c>
      <c r="H26" s="2" t="str">
        <f t="shared" si="1"/>
        <v>Negative</v>
      </c>
    </row>
    <row r="27" spans="1:8" x14ac:dyDescent="0.25">
      <c r="A27" s="2" t="s">
        <v>31</v>
      </c>
      <c r="B27" s="2" t="s">
        <v>500</v>
      </c>
      <c r="C27" s="2" t="s">
        <v>507</v>
      </c>
      <c r="D27" s="2">
        <v>1</v>
      </c>
      <c r="E27" s="2" t="s">
        <v>521</v>
      </c>
      <c r="F27" s="3">
        <v>45584.266031121901</v>
      </c>
      <c r="G27" s="2" t="str">
        <f t="shared" si="0"/>
        <v>Oct-2024</v>
      </c>
      <c r="H27" s="2" t="str">
        <f t="shared" si="1"/>
        <v>Negative</v>
      </c>
    </row>
    <row r="28" spans="1:8" x14ac:dyDescent="0.25">
      <c r="A28" s="2" t="s">
        <v>32</v>
      </c>
      <c r="B28" s="2" t="s">
        <v>499</v>
      </c>
      <c r="C28" s="2" t="s">
        <v>505</v>
      </c>
      <c r="D28" s="2">
        <v>5</v>
      </c>
      <c r="E28" s="2" t="s">
        <v>514</v>
      </c>
      <c r="F28" s="3">
        <v>45878.266031121973</v>
      </c>
      <c r="G28" s="2" t="str">
        <f t="shared" si="0"/>
        <v>Aug-2025</v>
      </c>
      <c r="H28" s="2" t="str">
        <f t="shared" si="1"/>
        <v>Positive</v>
      </c>
    </row>
    <row r="29" spans="1:8" x14ac:dyDescent="0.25">
      <c r="A29" s="2" t="s">
        <v>33</v>
      </c>
      <c r="B29" s="2" t="s">
        <v>499</v>
      </c>
      <c r="C29" s="2" t="s">
        <v>503</v>
      </c>
      <c r="D29" s="2">
        <v>4</v>
      </c>
      <c r="E29" s="2" t="s">
        <v>522</v>
      </c>
      <c r="F29" s="3">
        <v>45734.266031122017</v>
      </c>
      <c r="G29" s="2" t="str">
        <f t="shared" si="0"/>
        <v>Mar-2025</v>
      </c>
      <c r="H29" s="2" t="str">
        <f t="shared" si="1"/>
        <v>Positive</v>
      </c>
    </row>
    <row r="30" spans="1:8" x14ac:dyDescent="0.25">
      <c r="A30" s="2" t="s">
        <v>34</v>
      </c>
      <c r="B30" s="2" t="s">
        <v>496</v>
      </c>
      <c r="C30" s="2" t="s">
        <v>503</v>
      </c>
      <c r="D30" s="2">
        <v>5</v>
      </c>
      <c r="E30" s="2" t="s">
        <v>520</v>
      </c>
      <c r="F30" s="3">
        <v>45621.266031122097</v>
      </c>
      <c r="G30" s="2" t="str">
        <f t="shared" si="0"/>
        <v>Nov-2024</v>
      </c>
      <c r="H30" s="2" t="str">
        <f t="shared" si="1"/>
        <v>Positive</v>
      </c>
    </row>
    <row r="31" spans="1:8" x14ac:dyDescent="0.25">
      <c r="A31" s="2" t="s">
        <v>35</v>
      </c>
      <c r="B31" s="2" t="s">
        <v>493</v>
      </c>
      <c r="C31" s="2" t="s">
        <v>506</v>
      </c>
      <c r="D31" s="2">
        <v>2</v>
      </c>
      <c r="E31" s="2" t="s">
        <v>517</v>
      </c>
      <c r="F31" s="3">
        <v>45786.266031122163</v>
      </c>
      <c r="G31" s="2" t="str">
        <f t="shared" si="0"/>
        <v>May-2025</v>
      </c>
      <c r="H31" s="2" t="str">
        <f t="shared" si="1"/>
        <v>Negative</v>
      </c>
    </row>
    <row r="32" spans="1:8" x14ac:dyDescent="0.25">
      <c r="A32" s="2" t="s">
        <v>36</v>
      </c>
      <c r="B32" s="2" t="s">
        <v>497</v>
      </c>
      <c r="C32" s="2" t="s">
        <v>507</v>
      </c>
      <c r="D32" s="2">
        <v>4</v>
      </c>
      <c r="E32" s="2" t="s">
        <v>520</v>
      </c>
      <c r="F32" s="3">
        <v>45589.266031122199</v>
      </c>
      <c r="G32" s="2" t="str">
        <f t="shared" si="0"/>
        <v>Oct-2024</v>
      </c>
      <c r="H32" s="2" t="str">
        <f t="shared" si="1"/>
        <v>Positive</v>
      </c>
    </row>
    <row r="33" spans="1:8" x14ac:dyDescent="0.25">
      <c r="A33" s="2" t="s">
        <v>37</v>
      </c>
      <c r="B33" s="2" t="s">
        <v>494</v>
      </c>
      <c r="C33" s="2" t="s">
        <v>508</v>
      </c>
      <c r="D33" s="2">
        <v>2</v>
      </c>
      <c r="E33" s="2" t="s">
        <v>516</v>
      </c>
      <c r="F33" s="3">
        <v>45724.266031122243</v>
      </c>
      <c r="G33" s="2" t="str">
        <f t="shared" si="0"/>
        <v>Mar-2025</v>
      </c>
      <c r="H33" s="2" t="str">
        <f t="shared" si="1"/>
        <v>Negative</v>
      </c>
    </row>
    <row r="34" spans="1:8" x14ac:dyDescent="0.25">
      <c r="A34" s="2" t="s">
        <v>38</v>
      </c>
      <c r="B34" s="2" t="s">
        <v>501</v>
      </c>
      <c r="C34" s="2" t="s">
        <v>505</v>
      </c>
      <c r="D34" s="2">
        <v>2</v>
      </c>
      <c r="E34" s="2" t="s">
        <v>513</v>
      </c>
      <c r="F34" s="3">
        <v>45807.266031122272</v>
      </c>
      <c r="G34" s="2" t="str">
        <f t="shared" si="0"/>
        <v>May-2025</v>
      </c>
      <c r="H34" s="2" t="str">
        <f t="shared" si="1"/>
        <v>Negative</v>
      </c>
    </row>
    <row r="35" spans="1:8" x14ac:dyDescent="0.25">
      <c r="A35" s="2" t="s">
        <v>39</v>
      </c>
      <c r="B35" s="2" t="s">
        <v>494</v>
      </c>
      <c r="C35" s="2" t="s">
        <v>509</v>
      </c>
      <c r="D35" s="2">
        <v>1</v>
      </c>
      <c r="E35" s="2" t="s">
        <v>518</v>
      </c>
      <c r="F35" s="3">
        <v>45572.266031122323</v>
      </c>
      <c r="G35" s="2" t="str">
        <f t="shared" si="0"/>
        <v>Oct-2024</v>
      </c>
      <c r="H35" s="2" t="str">
        <f t="shared" si="1"/>
        <v>Negative</v>
      </c>
    </row>
    <row r="36" spans="1:8" x14ac:dyDescent="0.25">
      <c r="A36" s="2" t="s">
        <v>40</v>
      </c>
      <c r="B36" s="2" t="s">
        <v>502</v>
      </c>
      <c r="C36" s="2" t="s">
        <v>506</v>
      </c>
      <c r="D36" s="2">
        <v>1</v>
      </c>
      <c r="E36" s="2" t="s">
        <v>514</v>
      </c>
      <c r="F36" s="3">
        <v>45579.266031122352</v>
      </c>
      <c r="G36" s="2" t="str">
        <f t="shared" si="0"/>
        <v>Oct-2024</v>
      </c>
      <c r="H36" s="2" t="str">
        <f t="shared" si="1"/>
        <v>Negative</v>
      </c>
    </row>
    <row r="37" spans="1:8" x14ac:dyDescent="0.25">
      <c r="A37" s="2" t="s">
        <v>41</v>
      </c>
      <c r="B37" s="2" t="s">
        <v>499</v>
      </c>
      <c r="C37" s="2" t="s">
        <v>504</v>
      </c>
      <c r="D37" s="2">
        <v>1</v>
      </c>
      <c r="E37" s="2" t="s">
        <v>519</v>
      </c>
      <c r="F37" s="3">
        <v>45672.266031122381</v>
      </c>
      <c r="G37" s="2" t="str">
        <f t="shared" si="0"/>
        <v>Jan-2025</v>
      </c>
      <c r="H37" s="2" t="str">
        <f t="shared" si="1"/>
        <v>Negative</v>
      </c>
    </row>
    <row r="38" spans="1:8" x14ac:dyDescent="0.25">
      <c r="A38" s="2" t="s">
        <v>42</v>
      </c>
      <c r="B38" s="2" t="s">
        <v>498</v>
      </c>
      <c r="C38" s="2" t="s">
        <v>506</v>
      </c>
      <c r="D38" s="2">
        <v>2</v>
      </c>
      <c r="E38" s="2" t="s">
        <v>521</v>
      </c>
      <c r="F38" s="3">
        <v>45728.266031122432</v>
      </c>
      <c r="G38" s="2" t="str">
        <f t="shared" si="0"/>
        <v>Mar-2025</v>
      </c>
      <c r="H38" s="2" t="str">
        <f t="shared" si="1"/>
        <v>Negative</v>
      </c>
    </row>
    <row r="39" spans="1:8" x14ac:dyDescent="0.25">
      <c r="A39" s="2" t="s">
        <v>43</v>
      </c>
      <c r="B39" s="2" t="s">
        <v>495</v>
      </c>
      <c r="C39" s="2" t="s">
        <v>505</v>
      </c>
      <c r="D39" s="2">
        <v>2</v>
      </c>
      <c r="E39" s="2" t="s">
        <v>513</v>
      </c>
      <c r="F39" s="3">
        <v>45660.266031122468</v>
      </c>
      <c r="G39" s="2" t="str">
        <f t="shared" si="0"/>
        <v>Jan-2025</v>
      </c>
      <c r="H39" s="2" t="str">
        <f t="shared" si="1"/>
        <v>Negative</v>
      </c>
    </row>
    <row r="40" spans="1:8" x14ac:dyDescent="0.25">
      <c r="A40" s="2" t="s">
        <v>44</v>
      </c>
      <c r="B40" s="2" t="s">
        <v>502</v>
      </c>
      <c r="C40" s="2" t="s">
        <v>506</v>
      </c>
      <c r="D40" s="2">
        <v>4</v>
      </c>
      <c r="E40" s="2" t="s">
        <v>513</v>
      </c>
      <c r="F40" s="3">
        <v>45633.266031122497</v>
      </c>
      <c r="G40" s="2" t="str">
        <f t="shared" si="0"/>
        <v>Dec-2024</v>
      </c>
      <c r="H40" s="2" t="str">
        <f t="shared" si="1"/>
        <v>Positive</v>
      </c>
    </row>
    <row r="41" spans="1:8" x14ac:dyDescent="0.25">
      <c r="A41" s="2" t="s">
        <v>45</v>
      </c>
      <c r="B41" s="2" t="s">
        <v>495</v>
      </c>
      <c r="C41" s="2" t="s">
        <v>505</v>
      </c>
      <c r="D41" s="2">
        <v>2</v>
      </c>
      <c r="E41" s="2" t="s">
        <v>520</v>
      </c>
      <c r="F41" s="3">
        <v>45787.266031122534</v>
      </c>
      <c r="G41" s="2" t="str">
        <f t="shared" si="0"/>
        <v>May-2025</v>
      </c>
      <c r="H41" s="2" t="str">
        <f t="shared" si="1"/>
        <v>Negative</v>
      </c>
    </row>
    <row r="42" spans="1:8" x14ac:dyDescent="0.25">
      <c r="A42" s="2" t="s">
        <v>46</v>
      </c>
      <c r="B42" s="2" t="s">
        <v>494</v>
      </c>
      <c r="C42" s="2" t="s">
        <v>512</v>
      </c>
      <c r="D42" s="2">
        <v>3</v>
      </c>
      <c r="E42" s="2" t="s">
        <v>516</v>
      </c>
      <c r="F42" s="3">
        <v>45760.266031122577</v>
      </c>
      <c r="G42" s="2" t="str">
        <f t="shared" si="0"/>
        <v>Apr-2025</v>
      </c>
      <c r="H42" s="2" t="str">
        <f t="shared" si="1"/>
        <v>Neutral</v>
      </c>
    </row>
    <row r="43" spans="1:8" x14ac:dyDescent="0.25">
      <c r="A43" s="2" t="s">
        <v>47</v>
      </c>
      <c r="B43" s="2" t="s">
        <v>499</v>
      </c>
      <c r="C43" s="2" t="s">
        <v>507</v>
      </c>
      <c r="D43" s="2">
        <v>3</v>
      </c>
      <c r="E43" s="2" t="s">
        <v>516</v>
      </c>
      <c r="F43" s="3">
        <v>45628.266031122606</v>
      </c>
      <c r="G43" s="2" t="str">
        <f t="shared" si="0"/>
        <v>Dec-2024</v>
      </c>
      <c r="H43" s="2" t="str">
        <f t="shared" si="1"/>
        <v>Neutral</v>
      </c>
    </row>
    <row r="44" spans="1:8" x14ac:dyDescent="0.25">
      <c r="A44" s="2" t="s">
        <v>48</v>
      </c>
      <c r="B44" s="2" t="s">
        <v>494</v>
      </c>
      <c r="C44" s="2" t="s">
        <v>509</v>
      </c>
      <c r="D44" s="2">
        <v>1</v>
      </c>
      <c r="E44" s="2" t="s">
        <v>516</v>
      </c>
      <c r="F44" s="3">
        <v>45617.26603112265</v>
      </c>
      <c r="G44" s="2" t="str">
        <f t="shared" si="0"/>
        <v>Nov-2024</v>
      </c>
      <c r="H44" s="2" t="str">
        <f t="shared" si="1"/>
        <v>Negative</v>
      </c>
    </row>
    <row r="45" spans="1:8" x14ac:dyDescent="0.25">
      <c r="A45" s="2" t="s">
        <v>49</v>
      </c>
      <c r="B45" s="2" t="s">
        <v>493</v>
      </c>
      <c r="C45" s="2" t="s">
        <v>509</v>
      </c>
      <c r="D45" s="2">
        <v>1</v>
      </c>
      <c r="E45" s="2" t="s">
        <v>516</v>
      </c>
      <c r="F45" s="3">
        <v>45732.266031122686</v>
      </c>
      <c r="G45" s="2" t="str">
        <f t="shared" si="0"/>
        <v>Mar-2025</v>
      </c>
      <c r="H45" s="2" t="str">
        <f t="shared" si="1"/>
        <v>Negative</v>
      </c>
    </row>
    <row r="46" spans="1:8" x14ac:dyDescent="0.25">
      <c r="A46" s="2" t="s">
        <v>50</v>
      </c>
      <c r="B46" s="2" t="s">
        <v>496</v>
      </c>
      <c r="C46" s="2" t="s">
        <v>504</v>
      </c>
      <c r="D46" s="2">
        <v>5</v>
      </c>
      <c r="E46" s="2" t="s">
        <v>518</v>
      </c>
      <c r="F46" s="3">
        <v>45870.26603112273</v>
      </c>
      <c r="G46" s="2" t="str">
        <f t="shared" si="0"/>
        <v>Aug-2025</v>
      </c>
      <c r="H46" s="2" t="str">
        <f t="shared" si="1"/>
        <v>Positive</v>
      </c>
    </row>
    <row r="47" spans="1:8" x14ac:dyDescent="0.25">
      <c r="A47" s="2" t="s">
        <v>51</v>
      </c>
      <c r="B47" s="2" t="s">
        <v>495</v>
      </c>
      <c r="C47" s="2" t="s">
        <v>510</v>
      </c>
      <c r="D47" s="2">
        <v>4</v>
      </c>
      <c r="E47" s="2" t="s">
        <v>514</v>
      </c>
      <c r="F47" s="3">
        <v>45732.266031122766</v>
      </c>
      <c r="G47" s="2" t="str">
        <f t="shared" si="0"/>
        <v>Mar-2025</v>
      </c>
      <c r="H47" s="2" t="str">
        <f t="shared" si="1"/>
        <v>Positive</v>
      </c>
    </row>
    <row r="48" spans="1:8" x14ac:dyDescent="0.25">
      <c r="A48" s="2" t="s">
        <v>52</v>
      </c>
      <c r="B48" s="2" t="s">
        <v>495</v>
      </c>
      <c r="C48" s="2" t="s">
        <v>509</v>
      </c>
      <c r="D48" s="2">
        <v>3</v>
      </c>
      <c r="E48" s="2" t="s">
        <v>521</v>
      </c>
      <c r="F48" s="3">
        <v>45573.266031122803</v>
      </c>
      <c r="G48" s="2" t="str">
        <f t="shared" si="0"/>
        <v>Oct-2024</v>
      </c>
      <c r="H48" s="2" t="str">
        <f t="shared" si="1"/>
        <v>Neutral</v>
      </c>
    </row>
    <row r="49" spans="1:8" x14ac:dyDescent="0.25">
      <c r="A49" s="2" t="s">
        <v>53</v>
      </c>
      <c r="B49" s="2" t="s">
        <v>495</v>
      </c>
      <c r="C49" s="2" t="s">
        <v>511</v>
      </c>
      <c r="D49" s="2">
        <v>2</v>
      </c>
      <c r="E49" s="2" t="s">
        <v>513</v>
      </c>
      <c r="F49" s="3">
        <v>45712.266031122846</v>
      </c>
      <c r="G49" s="2" t="str">
        <f t="shared" si="0"/>
        <v>Feb-2025</v>
      </c>
      <c r="H49" s="2" t="str">
        <f t="shared" si="1"/>
        <v>Negative</v>
      </c>
    </row>
    <row r="50" spans="1:8" x14ac:dyDescent="0.25">
      <c r="A50" s="2" t="s">
        <v>54</v>
      </c>
      <c r="B50" s="2" t="s">
        <v>500</v>
      </c>
      <c r="C50" s="2" t="s">
        <v>509</v>
      </c>
      <c r="D50" s="2">
        <v>5</v>
      </c>
      <c r="E50" s="2" t="s">
        <v>515</v>
      </c>
      <c r="F50" s="3">
        <v>45715.266031122883</v>
      </c>
      <c r="G50" s="2" t="str">
        <f t="shared" si="0"/>
        <v>Feb-2025</v>
      </c>
      <c r="H50" s="2" t="str">
        <f t="shared" si="1"/>
        <v>Positive</v>
      </c>
    </row>
    <row r="51" spans="1:8" x14ac:dyDescent="0.25">
      <c r="A51" s="2" t="s">
        <v>55</v>
      </c>
      <c r="B51" s="2" t="s">
        <v>499</v>
      </c>
      <c r="C51" s="2" t="s">
        <v>507</v>
      </c>
      <c r="D51" s="2">
        <v>3</v>
      </c>
      <c r="E51" s="2" t="s">
        <v>521</v>
      </c>
      <c r="F51" s="3">
        <v>45565.266031122919</v>
      </c>
      <c r="G51" s="2" t="str">
        <f t="shared" si="0"/>
        <v>Sep-2024</v>
      </c>
      <c r="H51" s="2" t="str">
        <f t="shared" si="1"/>
        <v>Neutral</v>
      </c>
    </row>
    <row r="52" spans="1:8" x14ac:dyDescent="0.25">
      <c r="A52" s="2" t="s">
        <v>56</v>
      </c>
      <c r="B52" s="2" t="s">
        <v>493</v>
      </c>
      <c r="C52" s="2" t="s">
        <v>503</v>
      </c>
      <c r="D52" s="2">
        <v>1</v>
      </c>
      <c r="E52" s="2" t="s">
        <v>515</v>
      </c>
      <c r="F52" s="3">
        <v>45668.266031122948</v>
      </c>
      <c r="G52" s="2" t="str">
        <f t="shared" si="0"/>
        <v>Jan-2025</v>
      </c>
      <c r="H52" s="2" t="str">
        <f t="shared" si="1"/>
        <v>Negative</v>
      </c>
    </row>
    <row r="53" spans="1:8" x14ac:dyDescent="0.25">
      <c r="A53" s="2" t="s">
        <v>57</v>
      </c>
      <c r="B53" s="2" t="s">
        <v>493</v>
      </c>
      <c r="C53" s="2" t="s">
        <v>511</v>
      </c>
      <c r="D53" s="2">
        <v>5</v>
      </c>
      <c r="E53" s="2" t="s">
        <v>517</v>
      </c>
      <c r="F53" s="3">
        <v>45644.266031122999</v>
      </c>
      <c r="G53" s="2" t="str">
        <f t="shared" si="0"/>
        <v>Dec-2024</v>
      </c>
      <c r="H53" s="2" t="str">
        <f t="shared" si="1"/>
        <v>Positive</v>
      </c>
    </row>
    <row r="54" spans="1:8" x14ac:dyDescent="0.25">
      <c r="A54" s="2" t="s">
        <v>58</v>
      </c>
      <c r="B54" s="2" t="s">
        <v>502</v>
      </c>
      <c r="C54" s="2" t="s">
        <v>512</v>
      </c>
      <c r="D54" s="2">
        <v>4</v>
      </c>
      <c r="E54" s="2" t="s">
        <v>520</v>
      </c>
      <c r="F54" s="3">
        <v>45883.266031123043</v>
      </c>
      <c r="G54" s="2" t="str">
        <f t="shared" si="0"/>
        <v>Aug-2025</v>
      </c>
      <c r="H54" s="2" t="str">
        <f t="shared" si="1"/>
        <v>Positive</v>
      </c>
    </row>
    <row r="55" spans="1:8" x14ac:dyDescent="0.25">
      <c r="A55" s="2" t="s">
        <v>59</v>
      </c>
      <c r="B55" s="2" t="s">
        <v>501</v>
      </c>
      <c r="C55" s="2" t="s">
        <v>510</v>
      </c>
      <c r="D55" s="2">
        <v>1</v>
      </c>
      <c r="E55" s="2" t="s">
        <v>513</v>
      </c>
      <c r="F55" s="3">
        <v>45653.266031123057</v>
      </c>
      <c r="G55" s="2" t="str">
        <f t="shared" si="0"/>
        <v>Dec-2024</v>
      </c>
      <c r="H55" s="2" t="str">
        <f t="shared" si="1"/>
        <v>Negative</v>
      </c>
    </row>
    <row r="56" spans="1:8" x14ac:dyDescent="0.25">
      <c r="A56" s="2" t="s">
        <v>60</v>
      </c>
      <c r="B56" s="2" t="s">
        <v>502</v>
      </c>
      <c r="C56" s="2" t="s">
        <v>507</v>
      </c>
      <c r="D56" s="2">
        <v>2</v>
      </c>
      <c r="E56" s="2" t="s">
        <v>517</v>
      </c>
      <c r="F56" s="3">
        <v>45665.266031123101</v>
      </c>
      <c r="G56" s="2" t="str">
        <f t="shared" si="0"/>
        <v>Jan-2025</v>
      </c>
      <c r="H56" s="2" t="str">
        <f t="shared" si="1"/>
        <v>Negative</v>
      </c>
    </row>
    <row r="57" spans="1:8" x14ac:dyDescent="0.25">
      <c r="A57" s="2" t="s">
        <v>61</v>
      </c>
      <c r="B57" s="2" t="s">
        <v>499</v>
      </c>
      <c r="C57" s="2" t="s">
        <v>507</v>
      </c>
      <c r="D57" s="2">
        <v>5</v>
      </c>
      <c r="E57" s="2" t="s">
        <v>517</v>
      </c>
      <c r="F57" s="3">
        <v>45876.266031123138</v>
      </c>
      <c r="G57" s="2" t="str">
        <f t="shared" si="0"/>
        <v>Aug-2025</v>
      </c>
      <c r="H57" s="2" t="str">
        <f t="shared" si="1"/>
        <v>Positive</v>
      </c>
    </row>
    <row r="58" spans="1:8" x14ac:dyDescent="0.25">
      <c r="A58" s="2" t="s">
        <v>62</v>
      </c>
      <c r="B58" s="2" t="s">
        <v>493</v>
      </c>
      <c r="C58" s="2" t="s">
        <v>510</v>
      </c>
      <c r="D58" s="2">
        <v>2</v>
      </c>
      <c r="E58" s="2" t="s">
        <v>521</v>
      </c>
      <c r="F58" s="3">
        <v>45562.266031123181</v>
      </c>
      <c r="G58" s="2" t="str">
        <f t="shared" si="0"/>
        <v>Sep-2024</v>
      </c>
      <c r="H58" s="2" t="str">
        <f t="shared" si="1"/>
        <v>Negative</v>
      </c>
    </row>
    <row r="59" spans="1:8" x14ac:dyDescent="0.25">
      <c r="A59" s="2" t="s">
        <v>63</v>
      </c>
      <c r="B59" s="2" t="s">
        <v>494</v>
      </c>
      <c r="C59" s="2" t="s">
        <v>512</v>
      </c>
      <c r="D59" s="2">
        <v>1</v>
      </c>
      <c r="E59" s="2" t="s">
        <v>517</v>
      </c>
      <c r="F59" s="3">
        <v>45650.266031123232</v>
      </c>
      <c r="G59" s="2" t="str">
        <f t="shared" si="0"/>
        <v>Dec-2024</v>
      </c>
      <c r="H59" s="2" t="str">
        <f t="shared" si="1"/>
        <v>Negative</v>
      </c>
    </row>
    <row r="60" spans="1:8" x14ac:dyDescent="0.25">
      <c r="A60" s="2" t="s">
        <v>64</v>
      </c>
      <c r="B60" s="2" t="s">
        <v>497</v>
      </c>
      <c r="C60" s="2" t="s">
        <v>506</v>
      </c>
      <c r="D60" s="2">
        <v>3</v>
      </c>
      <c r="E60" s="2" t="s">
        <v>520</v>
      </c>
      <c r="F60" s="3">
        <v>45668.266031123261</v>
      </c>
      <c r="G60" s="2" t="str">
        <f t="shared" si="0"/>
        <v>Jan-2025</v>
      </c>
      <c r="H60" s="2" t="str">
        <f t="shared" si="1"/>
        <v>Neutral</v>
      </c>
    </row>
    <row r="61" spans="1:8" x14ac:dyDescent="0.25">
      <c r="A61" s="2" t="s">
        <v>65</v>
      </c>
      <c r="B61" s="2" t="s">
        <v>502</v>
      </c>
      <c r="C61" s="2" t="s">
        <v>509</v>
      </c>
      <c r="D61" s="2">
        <v>4</v>
      </c>
      <c r="E61" s="2" t="s">
        <v>516</v>
      </c>
      <c r="F61" s="3">
        <v>45787.266031123298</v>
      </c>
      <c r="G61" s="2" t="str">
        <f t="shared" si="0"/>
        <v>May-2025</v>
      </c>
      <c r="H61" s="2" t="str">
        <f t="shared" si="1"/>
        <v>Positive</v>
      </c>
    </row>
    <row r="62" spans="1:8" x14ac:dyDescent="0.25">
      <c r="A62" s="2" t="s">
        <v>66</v>
      </c>
      <c r="B62" s="2" t="s">
        <v>501</v>
      </c>
      <c r="C62" s="2" t="s">
        <v>512</v>
      </c>
      <c r="D62" s="2">
        <v>2</v>
      </c>
      <c r="E62" s="2" t="s">
        <v>517</v>
      </c>
      <c r="F62" s="3">
        <v>45771.266031123327</v>
      </c>
      <c r="G62" s="2" t="str">
        <f t="shared" si="0"/>
        <v>Apr-2025</v>
      </c>
      <c r="H62" s="2" t="str">
        <f t="shared" si="1"/>
        <v>Negative</v>
      </c>
    </row>
    <row r="63" spans="1:8" x14ac:dyDescent="0.25">
      <c r="A63" s="2" t="s">
        <v>67</v>
      </c>
      <c r="B63" s="2" t="s">
        <v>500</v>
      </c>
      <c r="C63" s="2" t="s">
        <v>509</v>
      </c>
      <c r="D63" s="2">
        <v>4</v>
      </c>
      <c r="E63" s="2" t="s">
        <v>520</v>
      </c>
      <c r="F63" s="3">
        <v>45762.26603112337</v>
      </c>
      <c r="G63" s="2" t="str">
        <f t="shared" si="0"/>
        <v>Apr-2025</v>
      </c>
      <c r="H63" s="2" t="str">
        <f t="shared" si="1"/>
        <v>Positive</v>
      </c>
    </row>
    <row r="64" spans="1:8" x14ac:dyDescent="0.25">
      <c r="A64" s="2" t="s">
        <v>68</v>
      </c>
      <c r="B64" s="2" t="s">
        <v>500</v>
      </c>
      <c r="C64" s="2" t="s">
        <v>512</v>
      </c>
      <c r="D64" s="2">
        <v>5</v>
      </c>
      <c r="E64" s="2" t="s">
        <v>517</v>
      </c>
      <c r="F64" s="3">
        <v>45663.266031123407</v>
      </c>
      <c r="G64" s="2" t="str">
        <f t="shared" si="0"/>
        <v>Jan-2025</v>
      </c>
      <c r="H64" s="2" t="str">
        <f t="shared" si="1"/>
        <v>Positive</v>
      </c>
    </row>
    <row r="65" spans="1:8" x14ac:dyDescent="0.25">
      <c r="A65" s="2" t="s">
        <v>69</v>
      </c>
      <c r="B65" s="2" t="s">
        <v>494</v>
      </c>
      <c r="C65" s="2" t="s">
        <v>511</v>
      </c>
      <c r="D65" s="2">
        <v>2</v>
      </c>
      <c r="E65" s="2" t="s">
        <v>514</v>
      </c>
      <c r="F65" s="3">
        <v>45679.266031123458</v>
      </c>
      <c r="G65" s="2" t="str">
        <f t="shared" si="0"/>
        <v>Jan-2025</v>
      </c>
      <c r="H65" s="2" t="str">
        <f t="shared" si="1"/>
        <v>Negative</v>
      </c>
    </row>
    <row r="66" spans="1:8" x14ac:dyDescent="0.25">
      <c r="A66" s="2" t="s">
        <v>70</v>
      </c>
      <c r="B66" s="2" t="s">
        <v>493</v>
      </c>
      <c r="C66" s="2" t="s">
        <v>509</v>
      </c>
      <c r="D66" s="2">
        <v>3</v>
      </c>
      <c r="E66" s="2" t="s">
        <v>513</v>
      </c>
      <c r="F66" s="3">
        <v>45854.266031123567</v>
      </c>
      <c r="G66" s="2" t="str">
        <f t="shared" ref="G66:G129" si="2">TEXT(F66,"mmm-yyyy")</f>
        <v>Jul-2025</v>
      </c>
      <c r="H66" s="2" t="str">
        <f t="shared" ref="H66:H129" si="3">IF(D66&gt;=4,"Positive",IF(D66=3,"Neutral","Negative"))</f>
        <v>Neutral</v>
      </c>
    </row>
    <row r="67" spans="1:8" x14ac:dyDescent="0.25">
      <c r="A67" s="2" t="s">
        <v>71</v>
      </c>
      <c r="B67" s="2" t="s">
        <v>500</v>
      </c>
      <c r="C67" s="2" t="s">
        <v>506</v>
      </c>
      <c r="D67" s="2">
        <v>2</v>
      </c>
      <c r="E67" s="2" t="s">
        <v>521</v>
      </c>
      <c r="F67" s="3">
        <v>45848.26603112361</v>
      </c>
      <c r="G67" s="2" t="str">
        <f t="shared" si="2"/>
        <v>Jul-2025</v>
      </c>
      <c r="H67" s="2" t="str">
        <f t="shared" si="3"/>
        <v>Negative</v>
      </c>
    </row>
    <row r="68" spans="1:8" x14ac:dyDescent="0.25">
      <c r="A68" s="2" t="s">
        <v>72</v>
      </c>
      <c r="B68" s="2" t="s">
        <v>499</v>
      </c>
      <c r="C68" s="2" t="s">
        <v>507</v>
      </c>
      <c r="D68" s="2">
        <v>4</v>
      </c>
      <c r="E68" s="2" t="s">
        <v>517</v>
      </c>
      <c r="F68" s="3">
        <v>45865.266031123647</v>
      </c>
      <c r="G68" s="2" t="str">
        <f t="shared" si="2"/>
        <v>Jul-2025</v>
      </c>
      <c r="H68" s="2" t="str">
        <f t="shared" si="3"/>
        <v>Positive</v>
      </c>
    </row>
    <row r="69" spans="1:8" x14ac:dyDescent="0.25">
      <c r="A69" s="2" t="s">
        <v>73</v>
      </c>
      <c r="B69" s="2" t="s">
        <v>501</v>
      </c>
      <c r="C69" s="2" t="s">
        <v>504</v>
      </c>
      <c r="D69" s="2">
        <v>4</v>
      </c>
      <c r="E69" s="2" t="s">
        <v>521</v>
      </c>
      <c r="F69" s="3">
        <v>45690.266031123683</v>
      </c>
      <c r="G69" s="2" t="str">
        <f t="shared" si="2"/>
        <v>Feb-2025</v>
      </c>
      <c r="H69" s="2" t="str">
        <f t="shared" si="3"/>
        <v>Positive</v>
      </c>
    </row>
    <row r="70" spans="1:8" x14ac:dyDescent="0.25">
      <c r="A70" s="2" t="s">
        <v>74</v>
      </c>
      <c r="B70" s="2" t="s">
        <v>493</v>
      </c>
      <c r="C70" s="2" t="s">
        <v>504</v>
      </c>
      <c r="D70" s="2">
        <v>1</v>
      </c>
      <c r="E70" s="2" t="s">
        <v>517</v>
      </c>
      <c r="F70" s="3">
        <v>45858.266031123727</v>
      </c>
      <c r="G70" s="2" t="str">
        <f t="shared" si="2"/>
        <v>Jul-2025</v>
      </c>
      <c r="H70" s="2" t="str">
        <f t="shared" si="3"/>
        <v>Negative</v>
      </c>
    </row>
    <row r="71" spans="1:8" x14ac:dyDescent="0.25">
      <c r="A71" s="2" t="s">
        <v>75</v>
      </c>
      <c r="B71" s="2" t="s">
        <v>499</v>
      </c>
      <c r="C71" s="2" t="s">
        <v>511</v>
      </c>
      <c r="D71" s="2">
        <v>2</v>
      </c>
      <c r="E71" s="2" t="s">
        <v>522</v>
      </c>
      <c r="F71" s="3">
        <v>45825.266031123763</v>
      </c>
      <c r="G71" s="2" t="str">
        <f t="shared" si="2"/>
        <v>Jun-2025</v>
      </c>
      <c r="H71" s="2" t="str">
        <f t="shared" si="3"/>
        <v>Negative</v>
      </c>
    </row>
    <row r="72" spans="1:8" x14ac:dyDescent="0.25">
      <c r="A72" s="2" t="s">
        <v>76</v>
      </c>
      <c r="B72" s="2" t="s">
        <v>493</v>
      </c>
      <c r="C72" s="2" t="s">
        <v>508</v>
      </c>
      <c r="D72" s="2">
        <v>5</v>
      </c>
      <c r="E72" s="2" t="s">
        <v>520</v>
      </c>
      <c r="F72" s="3">
        <v>45825.266031123807</v>
      </c>
      <c r="G72" s="2" t="str">
        <f t="shared" si="2"/>
        <v>Jun-2025</v>
      </c>
      <c r="H72" s="2" t="str">
        <f t="shared" si="3"/>
        <v>Positive</v>
      </c>
    </row>
    <row r="73" spans="1:8" x14ac:dyDescent="0.25">
      <c r="A73" s="2" t="s">
        <v>77</v>
      </c>
      <c r="B73" s="2" t="s">
        <v>496</v>
      </c>
      <c r="C73" s="2" t="s">
        <v>508</v>
      </c>
      <c r="D73" s="2">
        <v>3</v>
      </c>
      <c r="E73" s="2" t="s">
        <v>519</v>
      </c>
      <c r="F73" s="3">
        <v>45770.266031123843</v>
      </c>
      <c r="G73" s="2" t="str">
        <f t="shared" si="2"/>
        <v>Apr-2025</v>
      </c>
      <c r="H73" s="2" t="str">
        <f t="shared" si="3"/>
        <v>Neutral</v>
      </c>
    </row>
    <row r="74" spans="1:8" x14ac:dyDescent="0.25">
      <c r="A74" s="2" t="s">
        <v>78</v>
      </c>
      <c r="B74" s="2" t="s">
        <v>493</v>
      </c>
      <c r="C74" s="2" t="s">
        <v>508</v>
      </c>
      <c r="D74" s="2">
        <v>5</v>
      </c>
      <c r="E74" s="2" t="s">
        <v>518</v>
      </c>
      <c r="F74" s="3">
        <v>45834.26603112388</v>
      </c>
      <c r="G74" s="2" t="str">
        <f t="shared" si="2"/>
        <v>Jun-2025</v>
      </c>
      <c r="H74" s="2" t="str">
        <f t="shared" si="3"/>
        <v>Positive</v>
      </c>
    </row>
    <row r="75" spans="1:8" x14ac:dyDescent="0.25">
      <c r="A75" s="2" t="s">
        <v>79</v>
      </c>
      <c r="B75" s="2" t="s">
        <v>497</v>
      </c>
      <c r="C75" s="2" t="s">
        <v>507</v>
      </c>
      <c r="D75" s="2">
        <v>3</v>
      </c>
      <c r="E75" s="2" t="s">
        <v>518</v>
      </c>
      <c r="F75" s="3">
        <v>45708.266031123923</v>
      </c>
      <c r="G75" s="2" t="str">
        <f t="shared" si="2"/>
        <v>Feb-2025</v>
      </c>
      <c r="H75" s="2" t="str">
        <f t="shared" si="3"/>
        <v>Neutral</v>
      </c>
    </row>
    <row r="76" spans="1:8" x14ac:dyDescent="0.25">
      <c r="A76" s="2" t="s">
        <v>80</v>
      </c>
      <c r="B76" s="2" t="s">
        <v>494</v>
      </c>
      <c r="C76" s="2" t="s">
        <v>511</v>
      </c>
      <c r="D76" s="2">
        <v>1</v>
      </c>
      <c r="E76" s="2" t="s">
        <v>517</v>
      </c>
      <c r="F76" s="3">
        <v>45531.26603112396</v>
      </c>
      <c r="G76" s="2" t="str">
        <f t="shared" si="2"/>
        <v>Aug-2024</v>
      </c>
      <c r="H76" s="2" t="str">
        <f t="shared" si="3"/>
        <v>Negative</v>
      </c>
    </row>
    <row r="77" spans="1:8" x14ac:dyDescent="0.25">
      <c r="A77" s="2" t="s">
        <v>81</v>
      </c>
      <c r="B77" s="2" t="s">
        <v>497</v>
      </c>
      <c r="C77" s="2" t="s">
        <v>505</v>
      </c>
      <c r="D77" s="2">
        <v>1</v>
      </c>
      <c r="E77" s="2" t="s">
        <v>516</v>
      </c>
      <c r="F77" s="3">
        <v>45694.266031124003</v>
      </c>
      <c r="G77" s="2" t="str">
        <f t="shared" si="2"/>
        <v>Feb-2025</v>
      </c>
      <c r="H77" s="2" t="str">
        <f t="shared" si="3"/>
        <v>Negative</v>
      </c>
    </row>
    <row r="78" spans="1:8" x14ac:dyDescent="0.25">
      <c r="A78" s="2" t="s">
        <v>82</v>
      </c>
      <c r="B78" s="2" t="s">
        <v>499</v>
      </c>
      <c r="C78" s="2" t="s">
        <v>511</v>
      </c>
      <c r="D78" s="2">
        <v>3</v>
      </c>
      <c r="E78" s="2" t="s">
        <v>516</v>
      </c>
      <c r="F78" s="3">
        <v>45677.26603112404</v>
      </c>
      <c r="G78" s="2" t="str">
        <f t="shared" si="2"/>
        <v>Jan-2025</v>
      </c>
      <c r="H78" s="2" t="str">
        <f t="shared" si="3"/>
        <v>Neutral</v>
      </c>
    </row>
    <row r="79" spans="1:8" x14ac:dyDescent="0.25">
      <c r="A79" s="2" t="s">
        <v>83</v>
      </c>
      <c r="B79" s="2" t="s">
        <v>493</v>
      </c>
      <c r="C79" s="2" t="s">
        <v>505</v>
      </c>
      <c r="D79" s="2">
        <v>4</v>
      </c>
      <c r="E79" s="2" t="s">
        <v>522</v>
      </c>
      <c r="F79" s="3">
        <v>45855.266031124083</v>
      </c>
      <c r="G79" s="2" t="str">
        <f t="shared" si="2"/>
        <v>Jul-2025</v>
      </c>
      <c r="H79" s="2" t="str">
        <f t="shared" si="3"/>
        <v>Positive</v>
      </c>
    </row>
    <row r="80" spans="1:8" x14ac:dyDescent="0.25">
      <c r="A80" s="2" t="s">
        <v>84</v>
      </c>
      <c r="B80" s="2" t="s">
        <v>501</v>
      </c>
      <c r="C80" s="2" t="s">
        <v>504</v>
      </c>
      <c r="D80" s="2">
        <v>4</v>
      </c>
      <c r="E80" s="2" t="s">
        <v>520</v>
      </c>
      <c r="F80" s="3">
        <v>45657.266031124112</v>
      </c>
      <c r="G80" s="2" t="str">
        <f t="shared" si="2"/>
        <v>Dec-2024</v>
      </c>
      <c r="H80" s="2" t="str">
        <f t="shared" si="3"/>
        <v>Positive</v>
      </c>
    </row>
    <row r="81" spans="1:8" x14ac:dyDescent="0.25">
      <c r="A81" s="2" t="s">
        <v>85</v>
      </c>
      <c r="B81" s="2" t="s">
        <v>500</v>
      </c>
      <c r="C81" s="2" t="s">
        <v>508</v>
      </c>
      <c r="D81" s="2">
        <v>4</v>
      </c>
      <c r="E81" s="2" t="s">
        <v>520</v>
      </c>
      <c r="F81" s="3">
        <v>45727.266031124142</v>
      </c>
      <c r="G81" s="2" t="str">
        <f t="shared" si="2"/>
        <v>Mar-2025</v>
      </c>
      <c r="H81" s="2" t="str">
        <f t="shared" si="3"/>
        <v>Positive</v>
      </c>
    </row>
    <row r="82" spans="1:8" x14ac:dyDescent="0.25">
      <c r="A82" s="2" t="s">
        <v>86</v>
      </c>
      <c r="B82" s="2" t="s">
        <v>495</v>
      </c>
      <c r="C82" s="2" t="s">
        <v>509</v>
      </c>
      <c r="D82" s="2">
        <v>1</v>
      </c>
      <c r="E82" s="2" t="s">
        <v>521</v>
      </c>
      <c r="F82" s="3">
        <v>45817.266031124178</v>
      </c>
      <c r="G82" s="2" t="str">
        <f t="shared" si="2"/>
        <v>Jun-2025</v>
      </c>
      <c r="H82" s="2" t="str">
        <f t="shared" si="3"/>
        <v>Negative</v>
      </c>
    </row>
    <row r="83" spans="1:8" x14ac:dyDescent="0.25">
      <c r="A83" s="2" t="s">
        <v>87</v>
      </c>
      <c r="B83" s="2" t="s">
        <v>500</v>
      </c>
      <c r="C83" s="2" t="s">
        <v>503</v>
      </c>
      <c r="D83" s="2">
        <v>2</v>
      </c>
      <c r="E83" s="2" t="s">
        <v>517</v>
      </c>
      <c r="F83" s="3">
        <v>45727.266031124222</v>
      </c>
      <c r="G83" s="2" t="str">
        <f t="shared" si="2"/>
        <v>Mar-2025</v>
      </c>
      <c r="H83" s="2" t="str">
        <f t="shared" si="3"/>
        <v>Negative</v>
      </c>
    </row>
    <row r="84" spans="1:8" x14ac:dyDescent="0.25">
      <c r="A84" s="2" t="s">
        <v>88</v>
      </c>
      <c r="B84" s="2" t="s">
        <v>500</v>
      </c>
      <c r="C84" s="2" t="s">
        <v>508</v>
      </c>
      <c r="D84" s="2">
        <v>5</v>
      </c>
      <c r="E84" s="2" t="s">
        <v>515</v>
      </c>
      <c r="F84" s="3">
        <v>45842.266031124258</v>
      </c>
      <c r="G84" s="2" t="str">
        <f t="shared" si="2"/>
        <v>Jul-2025</v>
      </c>
      <c r="H84" s="2" t="str">
        <f t="shared" si="3"/>
        <v>Positive</v>
      </c>
    </row>
    <row r="85" spans="1:8" x14ac:dyDescent="0.25">
      <c r="A85" s="2" t="s">
        <v>89</v>
      </c>
      <c r="B85" s="2" t="s">
        <v>497</v>
      </c>
      <c r="C85" s="2" t="s">
        <v>504</v>
      </c>
      <c r="D85" s="2">
        <v>5</v>
      </c>
      <c r="E85" s="2" t="s">
        <v>514</v>
      </c>
      <c r="F85" s="3">
        <v>45575.266031124287</v>
      </c>
      <c r="G85" s="2" t="str">
        <f t="shared" si="2"/>
        <v>Oct-2024</v>
      </c>
      <c r="H85" s="2" t="str">
        <f t="shared" si="3"/>
        <v>Positive</v>
      </c>
    </row>
    <row r="86" spans="1:8" x14ac:dyDescent="0.25">
      <c r="A86" s="2" t="s">
        <v>90</v>
      </c>
      <c r="B86" s="2" t="s">
        <v>494</v>
      </c>
      <c r="C86" s="2" t="s">
        <v>507</v>
      </c>
      <c r="D86" s="2">
        <v>3</v>
      </c>
      <c r="E86" s="2" t="s">
        <v>516</v>
      </c>
      <c r="F86" s="3">
        <v>45820.266031124331</v>
      </c>
      <c r="G86" s="2" t="str">
        <f t="shared" si="2"/>
        <v>Jun-2025</v>
      </c>
      <c r="H86" s="2" t="str">
        <f t="shared" si="3"/>
        <v>Neutral</v>
      </c>
    </row>
    <row r="87" spans="1:8" x14ac:dyDescent="0.25">
      <c r="A87" s="2" t="s">
        <v>91</v>
      </c>
      <c r="B87" s="2" t="s">
        <v>493</v>
      </c>
      <c r="C87" s="2" t="s">
        <v>507</v>
      </c>
      <c r="D87" s="2">
        <v>3</v>
      </c>
      <c r="E87" s="2" t="s">
        <v>522</v>
      </c>
      <c r="F87" s="3">
        <v>45522.26603112436</v>
      </c>
      <c r="G87" s="2" t="str">
        <f t="shared" si="2"/>
        <v>Aug-2024</v>
      </c>
      <c r="H87" s="2" t="str">
        <f t="shared" si="3"/>
        <v>Neutral</v>
      </c>
    </row>
    <row r="88" spans="1:8" x14ac:dyDescent="0.25">
      <c r="A88" s="2" t="s">
        <v>92</v>
      </c>
      <c r="B88" s="2" t="s">
        <v>499</v>
      </c>
      <c r="C88" s="2" t="s">
        <v>509</v>
      </c>
      <c r="D88" s="2">
        <v>3</v>
      </c>
      <c r="E88" s="2" t="s">
        <v>514</v>
      </c>
      <c r="F88" s="3">
        <v>45743.266031124404</v>
      </c>
      <c r="G88" s="2" t="str">
        <f t="shared" si="2"/>
        <v>Mar-2025</v>
      </c>
      <c r="H88" s="2" t="str">
        <f t="shared" si="3"/>
        <v>Neutral</v>
      </c>
    </row>
    <row r="89" spans="1:8" x14ac:dyDescent="0.25">
      <c r="A89" s="2" t="s">
        <v>93</v>
      </c>
      <c r="B89" s="2" t="s">
        <v>500</v>
      </c>
      <c r="C89" s="2" t="s">
        <v>507</v>
      </c>
      <c r="D89" s="2">
        <v>4</v>
      </c>
      <c r="E89" s="2" t="s">
        <v>522</v>
      </c>
      <c r="F89" s="3">
        <v>45805.266031124447</v>
      </c>
      <c r="G89" s="2" t="str">
        <f t="shared" si="2"/>
        <v>May-2025</v>
      </c>
      <c r="H89" s="2" t="str">
        <f t="shared" si="3"/>
        <v>Positive</v>
      </c>
    </row>
    <row r="90" spans="1:8" x14ac:dyDescent="0.25">
      <c r="A90" s="2" t="s">
        <v>94</v>
      </c>
      <c r="B90" s="2" t="s">
        <v>496</v>
      </c>
      <c r="C90" s="2" t="s">
        <v>503</v>
      </c>
      <c r="D90" s="2">
        <v>5</v>
      </c>
      <c r="E90" s="2" t="s">
        <v>522</v>
      </c>
      <c r="F90" s="3">
        <v>45788.266031124484</v>
      </c>
      <c r="G90" s="2" t="str">
        <f t="shared" si="2"/>
        <v>May-2025</v>
      </c>
      <c r="H90" s="2" t="str">
        <f t="shared" si="3"/>
        <v>Positive</v>
      </c>
    </row>
    <row r="91" spans="1:8" x14ac:dyDescent="0.25">
      <c r="A91" s="2" t="s">
        <v>95</v>
      </c>
      <c r="B91" s="2" t="s">
        <v>498</v>
      </c>
      <c r="C91" s="2" t="s">
        <v>507</v>
      </c>
      <c r="D91" s="2">
        <v>4</v>
      </c>
      <c r="E91" s="2" t="s">
        <v>518</v>
      </c>
      <c r="F91" s="3">
        <v>45859.266031124527</v>
      </c>
      <c r="G91" s="2" t="str">
        <f t="shared" si="2"/>
        <v>Jul-2025</v>
      </c>
      <c r="H91" s="2" t="str">
        <f t="shared" si="3"/>
        <v>Positive</v>
      </c>
    </row>
    <row r="92" spans="1:8" x14ac:dyDescent="0.25">
      <c r="A92" s="2" t="s">
        <v>96</v>
      </c>
      <c r="B92" s="2" t="s">
        <v>495</v>
      </c>
      <c r="C92" s="2" t="s">
        <v>508</v>
      </c>
      <c r="D92" s="2">
        <v>1</v>
      </c>
      <c r="E92" s="2" t="s">
        <v>513</v>
      </c>
      <c r="F92" s="3">
        <v>45771.266031124564</v>
      </c>
      <c r="G92" s="2" t="str">
        <f t="shared" si="2"/>
        <v>Apr-2025</v>
      </c>
      <c r="H92" s="2" t="str">
        <f t="shared" si="3"/>
        <v>Negative</v>
      </c>
    </row>
    <row r="93" spans="1:8" x14ac:dyDescent="0.25">
      <c r="A93" s="2" t="s">
        <v>97</v>
      </c>
      <c r="B93" s="2" t="s">
        <v>499</v>
      </c>
      <c r="C93" s="2" t="s">
        <v>512</v>
      </c>
      <c r="D93" s="2">
        <v>2</v>
      </c>
      <c r="E93" s="2" t="s">
        <v>513</v>
      </c>
      <c r="F93" s="3">
        <v>45633.266031124593</v>
      </c>
      <c r="G93" s="2" t="str">
        <f t="shared" si="2"/>
        <v>Dec-2024</v>
      </c>
      <c r="H93" s="2" t="str">
        <f t="shared" si="3"/>
        <v>Negative</v>
      </c>
    </row>
    <row r="94" spans="1:8" x14ac:dyDescent="0.25">
      <c r="A94" s="2" t="s">
        <v>98</v>
      </c>
      <c r="B94" s="2" t="s">
        <v>493</v>
      </c>
      <c r="C94" s="2" t="s">
        <v>508</v>
      </c>
      <c r="D94" s="2">
        <v>5</v>
      </c>
      <c r="E94" s="2" t="s">
        <v>514</v>
      </c>
      <c r="F94" s="3">
        <v>45572.266031124644</v>
      </c>
      <c r="G94" s="2" t="str">
        <f t="shared" si="2"/>
        <v>Oct-2024</v>
      </c>
      <c r="H94" s="2" t="str">
        <f t="shared" si="3"/>
        <v>Positive</v>
      </c>
    </row>
    <row r="95" spans="1:8" x14ac:dyDescent="0.25">
      <c r="A95" s="2" t="s">
        <v>99</v>
      </c>
      <c r="B95" s="2" t="s">
        <v>495</v>
      </c>
      <c r="C95" s="2" t="s">
        <v>508</v>
      </c>
      <c r="D95" s="2">
        <v>2</v>
      </c>
      <c r="E95" s="2" t="s">
        <v>517</v>
      </c>
      <c r="F95" s="3">
        <v>45550.266031124673</v>
      </c>
      <c r="G95" s="2" t="str">
        <f t="shared" si="2"/>
        <v>Sep-2024</v>
      </c>
      <c r="H95" s="2" t="str">
        <f t="shared" si="3"/>
        <v>Negative</v>
      </c>
    </row>
    <row r="96" spans="1:8" x14ac:dyDescent="0.25">
      <c r="A96" s="2" t="s">
        <v>100</v>
      </c>
      <c r="B96" s="2" t="s">
        <v>495</v>
      </c>
      <c r="C96" s="2" t="s">
        <v>508</v>
      </c>
      <c r="D96" s="2">
        <v>1</v>
      </c>
      <c r="E96" s="2" t="s">
        <v>514</v>
      </c>
      <c r="F96" s="3">
        <v>45693.266031124709</v>
      </c>
      <c r="G96" s="2" t="str">
        <f t="shared" si="2"/>
        <v>Feb-2025</v>
      </c>
      <c r="H96" s="2" t="str">
        <f t="shared" si="3"/>
        <v>Negative</v>
      </c>
    </row>
    <row r="97" spans="1:8" x14ac:dyDescent="0.25">
      <c r="A97" s="2" t="s">
        <v>101</v>
      </c>
      <c r="B97" s="2" t="s">
        <v>502</v>
      </c>
      <c r="C97" s="2" t="s">
        <v>508</v>
      </c>
      <c r="D97" s="2">
        <v>4</v>
      </c>
      <c r="E97" s="2" t="s">
        <v>517</v>
      </c>
      <c r="F97" s="3">
        <v>45562.266031124753</v>
      </c>
      <c r="G97" s="2" t="str">
        <f t="shared" si="2"/>
        <v>Sep-2024</v>
      </c>
      <c r="H97" s="2" t="str">
        <f t="shared" si="3"/>
        <v>Positive</v>
      </c>
    </row>
    <row r="98" spans="1:8" x14ac:dyDescent="0.25">
      <c r="A98" s="2" t="s">
        <v>102</v>
      </c>
      <c r="B98" s="2" t="s">
        <v>496</v>
      </c>
      <c r="C98" s="2" t="s">
        <v>510</v>
      </c>
      <c r="D98" s="2">
        <v>5</v>
      </c>
      <c r="E98" s="2" t="s">
        <v>515</v>
      </c>
      <c r="F98" s="3">
        <v>45533.266031124789</v>
      </c>
      <c r="G98" s="2" t="str">
        <f t="shared" si="2"/>
        <v>Aug-2024</v>
      </c>
      <c r="H98" s="2" t="str">
        <f t="shared" si="3"/>
        <v>Positive</v>
      </c>
    </row>
    <row r="99" spans="1:8" x14ac:dyDescent="0.25">
      <c r="A99" s="2" t="s">
        <v>103</v>
      </c>
      <c r="B99" s="2" t="s">
        <v>498</v>
      </c>
      <c r="C99" s="2" t="s">
        <v>507</v>
      </c>
      <c r="D99" s="2">
        <v>4</v>
      </c>
      <c r="E99" s="2" t="s">
        <v>514</v>
      </c>
      <c r="F99" s="3">
        <v>45812.266031124833</v>
      </c>
      <c r="G99" s="2" t="str">
        <f t="shared" si="2"/>
        <v>Jun-2025</v>
      </c>
      <c r="H99" s="2" t="str">
        <f t="shared" si="3"/>
        <v>Positive</v>
      </c>
    </row>
    <row r="100" spans="1:8" x14ac:dyDescent="0.25">
      <c r="A100" s="2" t="s">
        <v>104</v>
      </c>
      <c r="B100" s="2" t="s">
        <v>500</v>
      </c>
      <c r="C100" s="2" t="s">
        <v>503</v>
      </c>
      <c r="D100" s="2">
        <v>2</v>
      </c>
      <c r="E100" s="2" t="s">
        <v>518</v>
      </c>
      <c r="F100" s="3">
        <v>45752.266031124862</v>
      </c>
      <c r="G100" s="2" t="str">
        <f t="shared" si="2"/>
        <v>Apr-2025</v>
      </c>
      <c r="H100" s="2" t="str">
        <f t="shared" si="3"/>
        <v>Negative</v>
      </c>
    </row>
    <row r="101" spans="1:8" x14ac:dyDescent="0.25">
      <c r="A101" s="2" t="s">
        <v>105</v>
      </c>
      <c r="B101" s="2" t="s">
        <v>499</v>
      </c>
      <c r="C101" s="2" t="s">
        <v>509</v>
      </c>
      <c r="D101" s="2">
        <v>2</v>
      </c>
      <c r="E101" s="2" t="s">
        <v>522</v>
      </c>
      <c r="F101" s="3">
        <v>45549.266031124898</v>
      </c>
      <c r="G101" s="2" t="str">
        <f t="shared" si="2"/>
        <v>Sep-2024</v>
      </c>
      <c r="H101" s="2" t="str">
        <f t="shared" si="3"/>
        <v>Negative</v>
      </c>
    </row>
    <row r="102" spans="1:8" x14ac:dyDescent="0.25">
      <c r="A102" s="2" t="s">
        <v>106</v>
      </c>
      <c r="B102" s="2" t="s">
        <v>499</v>
      </c>
      <c r="C102" s="2" t="s">
        <v>508</v>
      </c>
      <c r="D102" s="2">
        <v>1</v>
      </c>
      <c r="E102" s="2" t="s">
        <v>515</v>
      </c>
      <c r="F102" s="3">
        <v>45633.266031124942</v>
      </c>
      <c r="G102" s="2" t="str">
        <f t="shared" si="2"/>
        <v>Dec-2024</v>
      </c>
      <c r="H102" s="2" t="str">
        <f t="shared" si="3"/>
        <v>Negative</v>
      </c>
    </row>
    <row r="103" spans="1:8" x14ac:dyDescent="0.25">
      <c r="A103" s="2" t="s">
        <v>107</v>
      </c>
      <c r="B103" s="2" t="s">
        <v>497</v>
      </c>
      <c r="C103" s="2" t="s">
        <v>511</v>
      </c>
      <c r="D103" s="2">
        <v>2</v>
      </c>
      <c r="E103" s="2" t="s">
        <v>521</v>
      </c>
      <c r="F103" s="3">
        <v>45739.266031124978</v>
      </c>
      <c r="G103" s="2" t="str">
        <f t="shared" si="2"/>
        <v>Mar-2025</v>
      </c>
      <c r="H103" s="2" t="str">
        <f t="shared" si="3"/>
        <v>Negative</v>
      </c>
    </row>
    <row r="104" spans="1:8" x14ac:dyDescent="0.25">
      <c r="A104" s="2" t="s">
        <v>108</v>
      </c>
      <c r="B104" s="2" t="s">
        <v>497</v>
      </c>
      <c r="C104" s="2" t="s">
        <v>504</v>
      </c>
      <c r="D104" s="2">
        <v>3</v>
      </c>
      <c r="E104" s="2" t="s">
        <v>522</v>
      </c>
      <c r="F104" s="3">
        <v>45873.266031125007</v>
      </c>
      <c r="G104" s="2" t="str">
        <f t="shared" si="2"/>
        <v>Aug-2025</v>
      </c>
      <c r="H104" s="2" t="str">
        <f t="shared" si="3"/>
        <v>Neutral</v>
      </c>
    </row>
    <row r="105" spans="1:8" x14ac:dyDescent="0.25">
      <c r="A105" s="2" t="s">
        <v>109</v>
      </c>
      <c r="B105" s="2" t="s">
        <v>501</v>
      </c>
      <c r="C105" s="2" t="s">
        <v>507</v>
      </c>
      <c r="D105" s="2">
        <v>4</v>
      </c>
      <c r="E105" s="2" t="s">
        <v>522</v>
      </c>
      <c r="F105" s="3">
        <v>45535.266031125037</v>
      </c>
      <c r="G105" s="2" t="str">
        <f t="shared" si="2"/>
        <v>Aug-2024</v>
      </c>
      <c r="H105" s="2" t="str">
        <f t="shared" si="3"/>
        <v>Positive</v>
      </c>
    </row>
    <row r="106" spans="1:8" x14ac:dyDescent="0.25">
      <c r="A106" s="2" t="s">
        <v>110</v>
      </c>
      <c r="B106" s="2" t="s">
        <v>500</v>
      </c>
      <c r="C106" s="2" t="s">
        <v>503</v>
      </c>
      <c r="D106" s="2">
        <v>3</v>
      </c>
      <c r="E106" s="2" t="s">
        <v>519</v>
      </c>
      <c r="F106" s="3">
        <v>45801.266031125087</v>
      </c>
      <c r="G106" s="2" t="str">
        <f t="shared" si="2"/>
        <v>May-2025</v>
      </c>
      <c r="H106" s="2" t="str">
        <f t="shared" si="3"/>
        <v>Neutral</v>
      </c>
    </row>
    <row r="107" spans="1:8" x14ac:dyDescent="0.25">
      <c r="A107" s="2" t="s">
        <v>111</v>
      </c>
      <c r="B107" s="2" t="s">
        <v>501</v>
      </c>
      <c r="C107" s="2" t="s">
        <v>505</v>
      </c>
      <c r="D107" s="2">
        <v>4</v>
      </c>
      <c r="E107" s="2" t="s">
        <v>514</v>
      </c>
      <c r="F107" s="3">
        <v>45878.266031125138</v>
      </c>
      <c r="G107" s="2" t="str">
        <f t="shared" si="2"/>
        <v>Aug-2025</v>
      </c>
      <c r="H107" s="2" t="str">
        <f t="shared" si="3"/>
        <v>Positive</v>
      </c>
    </row>
    <row r="108" spans="1:8" x14ac:dyDescent="0.25">
      <c r="A108" s="2" t="s">
        <v>112</v>
      </c>
      <c r="B108" s="2" t="s">
        <v>500</v>
      </c>
      <c r="C108" s="2" t="s">
        <v>503</v>
      </c>
      <c r="D108" s="2">
        <v>2</v>
      </c>
      <c r="E108" s="2" t="s">
        <v>514</v>
      </c>
      <c r="F108" s="3">
        <v>45750.266031125168</v>
      </c>
      <c r="G108" s="2" t="str">
        <f t="shared" si="2"/>
        <v>Apr-2025</v>
      </c>
      <c r="H108" s="2" t="str">
        <f t="shared" si="3"/>
        <v>Negative</v>
      </c>
    </row>
    <row r="109" spans="1:8" x14ac:dyDescent="0.25">
      <c r="A109" s="2" t="s">
        <v>113</v>
      </c>
      <c r="B109" s="2" t="s">
        <v>494</v>
      </c>
      <c r="C109" s="2" t="s">
        <v>509</v>
      </c>
      <c r="D109" s="2">
        <v>5</v>
      </c>
      <c r="E109" s="2" t="s">
        <v>521</v>
      </c>
      <c r="F109" s="3">
        <v>45875.266031125211</v>
      </c>
      <c r="G109" s="2" t="str">
        <f t="shared" si="2"/>
        <v>Aug-2025</v>
      </c>
      <c r="H109" s="2" t="str">
        <f t="shared" si="3"/>
        <v>Positive</v>
      </c>
    </row>
    <row r="110" spans="1:8" x14ac:dyDescent="0.25">
      <c r="A110" s="2" t="s">
        <v>114</v>
      </c>
      <c r="B110" s="2" t="s">
        <v>499</v>
      </c>
      <c r="C110" s="2" t="s">
        <v>504</v>
      </c>
      <c r="D110" s="2">
        <v>5</v>
      </c>
      <c r="E110" s="2" t="s">
        <v>513</v>
      </c>
      <c r="F110" s="3">
        <v>45535.26603112524</v>
      </c>
      <c r="G110" s="2" t="str">
        <f t="shared" si="2"/>
        <v>Aug-2024</v>
      </c>
      <c r="H110" s="2" t="str">
        <f t="shared" si="3"/>
        <v>Positive</v>
      </c>
    </row>
    <row r="111" spans="1:8" x14ac:dyDescent="0.25">
      <c r="A111" s="2" t="s">
        <v>115</v>
      </c>
      <c r="B111" s="2" t="s">
        <v>494</v>
      </c>
      <c r="C111" s="2" t="s">
        <v>503</v>
      </c>
      <c r="D111" s="2">
        <v>3</v>
      </c>
      <c r="E111" s="2" t="s">
        <v>522</v>
      </c>
      <c r="F111" s="3">
        <v>45807.266031125291</v>
      </c>
      <c r="G111" s="2" t="str">
        <f t="shared" si="2"/>
        <v>May-2025</v>
      </c>
      <c r="H111" s="2" t="str">
        <f t="shared" si="3"/>
        <v>Neutral</v>
      </c>
    </row>
    <row r="112" spans="1:8" x14ac:dyDescent="0.25">
      <c r="A112" s="2" t="s">
        <v>116</v>
      </c>
      <c r="B112" s="2" t="s">
        <v>497</v>
      </c>
      <c r="C112" s="2" t="s">
        <v>504</v>
      </c>
      <c r="D112" s="2">
        <v>1</v>
      </c>
      <c r="E112" s="2" t="s">
        <v>519</v>
      </c>
      <c r="F112" s="3">
        <v>45704.266031125328</v>
      </c>
      <c r="G112" s="2" t="str">
        <f t="shared" si="2"/>
        <v>Feb-2025</v>
      </c>
      <c r="H112" s="2" t="str">
        <f t="shared" si="3"/>
        <v>Negative</v>
      </c>
    </row>
    <row r="113" spans="1:8" x14ac:dyDescent="0.25">
      <c r="A113" s="2" t="s">
        <v>117</v>
      </c>
      <c r="B113" s="2" t="s">
        <v>495</v>
      </c>
      <c r="C113" s="2" t="s">
        <v>507</v>
      </c>
      <c r="D113" s="2">
        <v>5</v>
      </c>
      <c r="E113" s="2" t="s">
        <v>515</v>
      </c>
      <c r="F113" s="3">
        <v>45790.266031125357</v>
      </c>
      <c r="G113" s="2" t="str">
        <f t="shared" si="2"/>
        <v>May-2025</v>
      </c>
      <c r="H113" s="2" t="str">
        <f t="shared" si="3"/>
        <v>Positive</v>
      </c>
    </row>
    <row r="114" spans="1:8" x14ac:dyDescent="0.25">
      <c r="A114" s="2" t="s">
        <v>118</v>
      </c>
      <c r="B114" s="2" t="s">
        <v>496</v>
      </c>
      <c r="C114" s="2" t="s">
        <v>511</v>
      </c>
      <c r="D114" s="2">
        <v>2</v>
      </c>
      <c r="E114" s="2" t="s">
        <v>513</v>
      </c>
      <c r="F114" s="3">
        <v>45644.266031125393</v>
      </c>
      <c r="G114" s="2" t="str">
        <f t="shared" si="2"/>
        <v>Dec-2024</v>
      </c>
      <c r="H114" s="2" t="str">
        <f t="shared" si="3"/>
        <v>Negative</v>
      </c>
    </row>
    <row r="115" spans="1:8" x14ac:dyDescent="0.25">
      <c r="A115" s="2" t="s">
        <v>119</v>
      </c>
      <c r="B115" s="2" t="s">
        <v>493</v>
      </c>
      <c r="C115" s="2" t="s">
        <v>507</v>
      </c>
      <c r="D115" s="2">
        <v>4</v>
      </c>
      <c r="E115" s="2" t="s">
        <v>522</v>
      </c>
      <c r="F115" s="3">
        <v>45853.266031125429</v>
      </c>
      <c r="G115" s="2" t="str">
        <f t="shared" si="2"/>
        <v>Jul-2025</v>
      </c>
      <c r="H115" s="2" t="str">
        <f t="shared" si="3"/>
        <v>Positive</v>
      </c>
    </row>
    <row r="116" spans="1:8" x14ac:dyDescent="0.25">
      <c r="A116" s="2" t="s">
        <v>120</v>
      </c>
      <c r="B116" s="2" t="s">
        <v>495</v>
      </c>
      <c r="C116" s="2" t="s">
        <v>504</v>
      </c>
      <c r="D116" s="2">
        <v>3</v>
      </c>
      <c r="E116" s="2" t="s">
        <v>515</v>
      </c>
      <c r="F116" s="3">
        <v>45621.266031125473</v>
      </c>
      <c r="G116" s="2" t="str">
        <f t="shared" si="2"/>
        <v>Nov-2024</v>
      </c>
      <c r="H116" s="2" t="str">
        <f t="shared" si="3"/>
        <v>Neutral</v>
      </c>
    </row>
    <row r="117" spans="1:8" x14ac:dyDescent="0.25">
      <c r="A117" s="2" t="s">
        <v>121</v>
      </c>
      <c r="B117" s="2" t="s">
        <v>495</v>
      </c>
      <c r="C117" s="2" t="s">
        <v>508</v>
      </c>
      <c r="D117" s="2">
        <v>5</v>
      </c>
      <c r="E117" s="2" t="s">
        <v>513</v>
      </c>
      <c r="F117" s="3">
        <v>45571.266031125509</v>
      </c>
      <c r="G117" s="2" t="str">
        <f t="shared" si="2"/>
        <v>Oct-2024</v>
      </c>
      <c r="H117" s="2" t="str">
        <f t="shared" si="3"/>
        <v>Positive</v>
      </c>
    </row>
    <row r="118" spans="1:8" x14ac:dyDescent="0.25">
      <c r="A118" s="2" t="s">
        <v>122</v>
      </c>
      <c r="B118" s="2" t="s">
        <v>497</v>
      </c>
      <c r="C118" s="2" t="s">
        <v>511</v>
      </c>
      <c r="D118" s="2">
        <v>4</v>
      </c>
      <c r="E118" s="2" t="s">
        <v>516</v>
      </c>
      <c r="F118" s="3">
        <v>45687.266031125553</v>
      </c>
      <c r="G118" s="2" t="str">
        <f t="shared" si="2"/>
        <v>Jan-2025</v>
      </c>
      <c r="H118" s="2" t="str">
        <f t="shared" si="3"/>
        <v>Positive</v>
      </c>
    </row>
    <row r="119" spans="1:8" x14ac:dyDescent="0.25">
      <c r="A119" s="2" t="s">
        <v>123</v>
      </c>
      <c r="B119" s="2" t="s">
        <v>495</v>
      </c>
      <c r="C119" s="2" t="s">
        <v>508</v>
      </c>
      <c r="D119" s="2">
        <v>5</v>
      </c>
      <c r="E119" s="2" t="s">
        <v>521</v>
      </c>
      <c r="F119" s="3">
        <v>45689.266031125582</v>
      </c>
      <c r="G119" s="2" t="str">
        <f t="shared" si="2"/>
        <v>Feb-2025</v>
      </c>
      <c r="H119" s="2" t="str">
        <f t="shared" si="3"/>
        <v>Positive</v>
      </c>
    </row>
    <row r="120" spans="1:8" x14ac:dyDescent="0.25">
      <c r="A120" s="2" t="s">
        <v>124</v>
      </c>
      <c r="B120" s="2" t="s">
        <v>493</v>
      </c>
      <c r="C120" s="2" t="s">
        <v>510</v>
      </c>
      <c r="D120" s="2">
        <v>2</v>
      </c>
      <c r="E120" s="2" t="s">
        <v>521</v>
      </c>
      <c r="F120" s="3">
        <v>45720.266031125633</v>
      </c>
      <c r="G120" s="2" t="str">
        <f t="shared" si="2"/>
        <v>Mar-2025</v>
      </c>
      <c r="H120" s="2" t="str">
        <f t="shared" si="3"/>
        <v>Negative</v>
      </c>
    </row>
    <row r="121" spans="1:8" x14ac:dyDescent="0.25">
      <c r="A121" s="2" t="s">
        <v>125</v>
      </c>
      <c r="B121" s="2" t="s">
        <v>498</v>
      </c>
      <c r="C121" s="2" t="s">
        <v>511</v>
      </c>
      <c r="D121" s="2">
        <v>2</v>
      </c>
      <c r="E121" s="2" t="s">
        <v>522</v>
      </c>
      <c r="F121" s="3">
        <v>45646.266031125662</v>
      </c>
      <c r="G121" s="2" t="str">
        <f t="shared" si="2"/>
        <v>Dec-2024</v>
      </c>
      <c r="H121" s="2" t="str">
        <f t="shared" si="3"/>
        <v>Negative</v>
      </c>
    </row>
    <row r="122" spans="1:8" x14ac:dyDescent="0.25">
      <c r="A122" s="2" t="s">
        <v>126</v>
      </c>
      <c r="B122" s="2" t="s">
        <v>496</v>
      </c>
      <c r="C122" s="2" t="s">
        <v>504</v>
      </c>
      <c r="D122" s="2">
        <v>1</v>
      </c>
      <c r="E122" s="2" t="s">
        <v>514</v>
      </c>
      <c r="F122" s="3">
        <v>45603.266031125713</v>
      </c>
      <c r="G122" s="2" t="str">
        <f t="shared" si="2"/>
        <v>Nov-2024</v>
      </c>
      <c r="H122" s="2" t="str">
        <f t="shared" si="3"/>
        <v>Negative</v>
      </c>
    </row>
    <row r="123" spans="1:8" x14ac:dyDescent="0.25">
      <c r="A123" s="2" t="s">
        <v>127</v>
      </c>
      <c r="B123" s="2" t="s">
        <v>494</v>
      </c>
      <c r="C123" s="2" t="s">
        <v>505</v>
      </c>
      <c r="D123" s="2">
        <v>3</v>
      </c>
      <c r="E123" s="2" t="s">
        <v>517</v>
      </c>
      <c r="F123" s="3">
        <v>45601.266031125742</v>
      </c>
      <c r="G123" s="2" t="str">
        <f t="shared" si="2"/>
        <v>Nov-2024</v>
      </c>
      <c r="H123" s="2" t="str">
        <f t="shared" si="3"/>
        <v>Neutral</v>
      </c>
    </row>
    <row r="124" spans="1:8" x14ac:dyDescent="0.25">
      <c r="A124" s="2" t="s">
        <v>128</v>
      </c>
      <c r="B124" s="2" t="s">
        <v>500</v>
      </c>
      <c r="C124" s="2" t="s">
        <v>509</v>
      </c>
      <c r="D124" s="2">
        <v>4</v>
      </c>
      <c r="E124" s="2" t="s">
        <v>521</v>
      </c>
      <c r="F124" s="3">
        <v>45637.266031125779</v>
      </c>
      <c r="G124" s="2" t="str">
        <f t="shared" si="2"/>
        <v>Dec-2024</v>
      </c>
      <c r="H124" s="2" t="str">
        <f t="shared" si="3"/>
        <v>Positive</v>
      </c>
    </row>
    <row r="125" spans="1:8" x14ac:dyDescent="0.25">
      <c r="A125" s="2" t="s">
        <v>129</v>
      </c>
      <c r="B125" s="2" t="s">
        <v>497</v>
      </c>
      <c r="C125" s="2" t="s">
        <v>505</v>
      </c>
      <c r="D125" s="2">
        <v>3</v>
      </c>
      <c r="E125" s="2" t="s">
        <v>514</v>
      </c>
      <c r="F125" s="3">
        <v>45765.266031125808</v>
      </c>
      <c r="G125" s="2" t="str">
        <f t="shared" si="2"/>
        <v>Apr-2025</v>
      </c>
      <c r="H125" s="2" t="str">
        <f t="shared" si="3"/>
        <v>Neutral</v>
      </c>
    </row>
    <row r="126" spans="1:8" x14ac:dyDescent="0.25">
      <c r="A126" s="2" t="s">
        <v>130</v>
      </c>
      <c r="B126" s="2" t="s">
        <v>501</v>
      </c>
      <c r="C126" s="2" t="s">
        <v>510</v>
      </c>
      <c r="D126" s="2">
        <v>5</v>
      </c>
      <c r="E126" s="2" t="s">
        <v>522</v>
      </c>
      <c r="F126" s="3">
        <v>45692.266031125859</v>
      </c>
      <c r="G126" s="2" t="str">
        <f t="shared" si="2"/>
        <v>Feb-2025</v>
      </c>
      <c r="H126" s="2" t="str">
        <f t="shared" si="3"/>
        <v>Positive</v>
      </c>
    </row>
    <row r="127" spans="1:8" x14ac:dyDescent="0.25">
      <c r="A127" s="2" t="s">
        <v>131</v>
      </c>
      <c r="B127" s="2" t="s">
        <v>493</v>
      </c>
      <c r="C127" s="2" t="s">
        <v>505</v>
      </c>
      <c r="D127" s="2">
        <v>3</v>
      </c>
      <c r="E127" s="2" t="s">
        <v>513</v>
      </c>
      <c r="F127" s="3">
        <v>45669.266031125888</v>
      </c>
      <c r="G127" s="2" t="str">
        <f t="shared" si="2"/>
        <v>Jan-2025</v>
      </c>
      <c r="H127" s="2" t="str">
        <f t="shared" si="3"/>
        <v>Neutral</v>
      </c>
    </row>
    <row r="128" spans="1:8" x14ac:dyDescent="0.25">
      <c r="A128" s="2" t="s">
        <v>132</v>
      </c>
      <c r="B128" s="2" t="s">
        <v>499</v>
      </c>
      <c r="C128" s="2" t="s">
        <v>508</v>
      </c>
      <c r="D128" s="2">
        <v>3</v>
      </c>
      <c r="E128" s="2" t="s">
        <v>519</v>
      </c>
      <c r="F128" s="3">
        <v>45790.266031125917</v>
      </c>
      <c r="G128" s="2" t="str">
        <f t="shared" si="2"/>
        <v>May-2025</v>
      </c>
      <c r="H128" s="2" t="str">
        <f t="shared" si="3"/>
        <v>Neutral</v>
      </c>
    </row>
    <row r="129" spans="1:8" x14ac:dyDescent="0.25">
      <c r="A129" s="2" t="s">
        <v>133</v>
      </c>
      <c r="B129" s="2" t="s">
        <v>498</v>
      </c>
      <c r="C129" s="2" t="s">
        <v>511</v>
      </c>
      <c r="D129" s="2">
        <v>1</v>
      </c>
      <c r="E129" s="2" t="s">
        <v>516</v>
      </c>
      <c r="F129" s="3">
        <v>45707.266031125961</v>
      </c>
      <c r="G129" s="2" t="str">
        <f t="shared" si="2"/>
        <v>Feb-2025</v>
      </c>
      <c r="H129" s="2" t="str">
        <f t="shared" si="3"/>
        <v>Negative</v>
      </c>
    </row>
    <row r="130" spans="1:8" x14ac:dyDescent="0.25">
      <c r="A130" s="2" t="s">
        <v>134</v>
      </c>
      <c r="B130" s="2" t="s">
        <v>499</v>
      </c>
      <c r="C130" s="2" t="s">
        <v>512</v>
      </c>
      <c r="D130" s="2">
        <v>5</v>
      </c>
      <c r="E130" s="2" t="s">
        <v>522</v>
      </c>
      <c r="F130" s="3">
        <v>45597.266031125997</v>
      </c>
      <c r="G130" s="2" t="str">
        <f t="shared" ref="G130:G193" si="4">TEXT(F130,"mmm-yyyy")</f>
        <v>Nov-2024</v>
      </c>
      <c r="H130" s="2" t="str">
        <f t="shared" ref="H130:H193" si="5">IF(D130&gt;=4,"Positive",IF(D130=3,"Neutral","Negative"))</f>
        <v>Positive</v>
      </c>
    </row>
    <row r="131" spans="1:8" x14ac:dyDescent="0.25">
      <c r="A131" s="2" t="s">
        <v>135</v>
      </c>
      <c r="B131" s="2" t="s">
        <v>495</v>
      </c>
      <c r="C131" s="2" t="s">
        <v>503</v>
      </c>
      <c r="D131" s="2">
        <v>5</v>
      </c>
      <c r="E131" s="2" t="s">
        <v>522</v>
      </c>
      <c r="F131" s="3">
        <v>45682.266031126041</v>
      </c>
      <c r="G131" s="2" t="str">
        <f t="shared" si="4"/>
        <v>Jan-2025</v>
      </c>
      <c r="H131" s="2" t="str">
        <f t="shared" si="5"/>
        <v>Positive</v>
      </c>
    </row>
    <row r="132" spans="1:8" x14ac:dyDescent="0.25">
      <c r="A132" s="2" t="s">
        <v>136</v>
      </c>
      <c r="B132" s="2" t="s">
        <v>501</v>
      </c>
      <c r="C132" s="2" t="s">
        <v>507</v>
      </c>
      <c r="D132" s="2">
        <v>3</v>
      </c>
      <c r="E132" s="2" t="s">
        <v>516</v>
      </c>
      <c r="F132" s="3">
        <v>45689.266031126092</v>
      </c>
      <c r="G132" s="2" t="str">
        <f t="shared" si="4"/>
        <v>Feb-2025</v>
      </c>
      <c r="H132" s="2" t="str">
        <f t="shared" si="5"/>
        <v>Neutral</v>
      </c>
    </row>
    <row r="133" spans="1:8" x14ac:dyDescent="0.25">
      <c r="A133" s="2" t="s">
        <v>137</v>
      </c>
      <c r="B133" s="2" t="s">
        <v>502</v>
      </c>
      <c r="C133" s="2" t="s">
        <v>504</v>
      </c>
      <c r="D133" s="2">
        <v>2</v>
      </c>
      <c r="E133" s="2" t="s">
        <v>518</v>
      </c>
      <c r="F133" s="3">
        <v>45533.266031126121</v>
      </c>
      <c r="G133" s="2" t="str">
        <f t="shared" si="4"/>
        <v>Aug-2024</v>
      </c>
      <c r="H133" s="2" t="str">
        <f t="shared" si="5"/>
        <v>Negative</v>
      </c>
    </row>
    <row r="134" spans="1:8" x14ac:dyDescent="0.25">
      <c r="A134" s="2" t="s">
        <v>138</v>
      </c>
      <c r="B134" s="2" t="s">
        <v>502</v>
      </c>
      <c r="C134" s="2" t="s">
        <v>507</v>
      </c>
      <c r="D134" s="2">
        <v>4</v>
      </c>
      <c r="E134" s="2" t="s">
        <v>519</v>
      </c>
      <c r="F134" s="3">
        <v>45579.266031126157</v>
      </c>
      <c r="G134" s="2" t="str">
        <f t="shared" si="4"/>
        <v>Oct-2024</v>
      </c>
      <c r="H134" s="2" t="str">
        <f t="shared" si="5"/>
        <v>Positive</v>
      </c>
    </row>
    <row r="135" spans="1:8" x14ac:dyDescent="0.25">
      <c r="A135" s="2" t="s">
        <v>139</v>
      </c>
      <c r="B135" s="2" t="s">
        <v>494</v>
      </c>
      <c r="C135" s="2" t="s">
        <v>511</v>
      </c>
      <c r="D135" s="2">
        <v>2</v>
      </c>
      <c r="E135" s="2" t="s">
        <v>518</v>
      </c>
      <c r="F135" s="3">
        <v>45635.266031126193</v>
      </c>
      <c r="G135" s="2" t="str">
        <f t="shared" si="4"/>
        <v>Dec-2024</v>
      </c>
      <c r="H135" s="2" t="str">
        <f t="shared" si="5"/>
        <v>Negative</v>
      </c>
    </row>
    <row r="136" spans="1:8" x14ac:dyDescent="0.25">
      <c r="A136" s="2" t="s">
        <v>140</v>
      </c>
      <c r="B136" s="2" t="s">
        <v>493</v>
      </c>
      <c r="C136" s="2" t="s">
        <v>505</v>
      </c>
      <c r="D136" s="2">
        <v>5</v>
      </c>
      <c r="E136" s="2" t="s">
        <v>516</v>
      </c>
      <c r="F136" s="3">
        <v>45686.266031126237</v>
      </c>
      <c r="G136" s="2" t="str">
        <f t="shared" si="4"/>
        <v>Jan-2025</v>
      </c>
      <c r="H136" s="2" t="str">
        <f t="shared" si="5"/>
        <v>Positive</v>
      </c>
    </row>
    <row r="137" spans="1:8" x14ac:dyDescent="0.25">
      <c r="A137" s="2" t="s">
        <v>141</v>
      </c>
      <c r="B137" s="2" t="s">
        <v>497</v>
      </c>
      <c r="C137" s="2" t="s">
        <v>509</v>
      </c>
      <c r="D137" s="2">
        <v>2</v>
      </c>
      <c r="E137" s="2" t="s">
        <v>515</v>
      </c>
      <c r="F137" s="3">
        <v>45583.266031126273</v>
      </c>
      <c r="G137" s="2" t="str">
        <f t="shared" si="4"/>
        <v>Oct-2024</v>
      </c>
      <c r="H137" s="2" t="str">
        <f t="shared" si="5"/>
        <v>Negative</v>
      </c>
    </row>
    <row r="138" spans="1:8" x14ac:dyDescent="0.25">
      <c r="A138" s="2" t="s">
        <v>142</v>
      </c>
      <c r="B138" s="2" t="s">
        <v>493</v>
      </c>
      <c r="C138" s="2" t="s">
        <v>508</v>
      </c>
      <c r="D138" s="2">
        <v>4</v>
      </c>
      <c r="E138" s="2" t="s">
        <v>515</v>
      </c>
      <c r="F138" s="3">
        <v>45643.26603112631</v>
      </c>
      <c r="G138" s="2" t="str">
        <f t="shared" si="4"/>
        <v>Dec-2024</v>
      </c>
      <c r="H138" s="2" t="str">
        <f t="shared" si="5"/>
        <v>Positive</v>
      </c>
    </row>
    <row r="139" spans="1:8" x14ac:dyDescent="0.25">
      <c r="A139" s="2" t="s">
        <v>143</v>
      </c>
      <c r="B139" s="2" t="s">
        <v>494</v>
      </c>
      <c r="C139" s="2" t="s">
        <v>507</v>
      </c>
      <c r="D139" s="2">
        <v>1</v>
      </c>
      <c r="E139" s="2" t="s">
        <v>519</v>
      </c>
      <c r="F139" s="3">
        <v>45743.266031126353</v>
      </c>
      <c r="G139" s="2" t="str">
        <f t="shared" si="4"/>
        <v>Mar-2025</v>
      </c>
      <c r="H139" s="2" t="str">
        <f t="shared" si="5"/>
        <v>Negative</v>
      </c>
    </row>
    <row r="140" spans="1:8" x14ac:dyDescent="0.25">
      <c r="A140" s="2" t="s">
        <v>144</v>
      </c>
      <c r="B140" s="2" t="s">
        <v>498</v>
      </c>
      <c r="C140" s="2" t="s">
        <v>504</v>
      </c>
      <c r="D140" s="2">
        <v>4</v>
      </c>
      <c r="E140" s="2" t="s">
        <v>515</v>
      </c>
      <c r="F140" s="3">
        <v>45725.26603112639</v>
      </c>
      <c r="G140" s="2" t="str">
        <f t="shared" si="4"/>
        <v>Mar-2025</v>
      </c>
      <c r="H140" s="2" t="str">
        <f t="shared" si="5"/>
        <v>Positive</v>
      </c>
    </row>
    <row r="141" spans="1:8" x14ac:dyDescent="0.25">
      <c r="A141" s="2" t="s">
        <v>145</v>
      </c>
      <c r="B141" s="2" t="s">
        <v>500</v>
      </c>
      <c r="C141" s="2" t="s">
        <v>504</v>
      </c>
      <c r="D141" s="2">
        <v>5</v>
      </c>
      <c r="E141" s="2" t="s">
        <v>513</v>
      </c>
      <c r="F141" s="3">
        <v>45697.266031126434</v>
      </c>
      <c r="G141" s="2" t="str">
        <f t="shared" si="4"/>
        <v>Feb-2025</v>
      </c>
      <c r="H141" s="2" t="str">
        <f t="shared" si="5"/>
        <v>Positive</v>
      </c>
    </row>
    <row r="142" spans="1:8" x14ac:dyDescent="0.25">
      <c r="A142" s="2" t="s">
        <v>146</v>
      </c>
      <c r="B142" s="2" t="s">
        <v>493</v>
      </c>
      <c r="C142" s="2" t="s">
        <v>508</v>
      </c>
      <c r="D142" s="2">
        <v>2</v>
      </c>
      <c r="E142" s="2" t="s">
        <v>514</v>
      </c>
      <c r="F142" s="3">
        <v>45779.266031126463</v>
      </c>
      <c r="G142" s="2" t="str">
        <f t="shared" si="4"/>
        <v>May-2025</v>
      </c>
      <c r="H142" s="2" t="str">
        <f t="shared" si="5"/>
        <v>Negative</v>
      </c>
    </row>
    <row r="143" spans="1:8" x14ac:dyDescent="0.25">
      <c r="A143" s="2" t="s">
        <v>147</v>
      </c>
      <c r="B143" s="2" t="s">
        <v>500</v>
      </c>
      <c r="C143" s="2" t="s">
        <v>512</v>
      </c>
      <c r="D143" s="2">
        <v>1</v>
      </c>
      <c r="E143" s="2" t="s">
        <v>514</v>
      </c>
      <c r="F143" s="3">
        <v>45863.266031126492</v>
      </c>
      <c r="G143" s="2" t="str">
        <f t="shared" si="4"/>
        <v>Jul-2025</v>
      </c>
      <c r="H143" s="2" t="str">
        <f t="shared" si="5"/>
        <v>Negative</v>
      </c>
    </row>
    <row r="144" spans="1:8" x14ac:dyDescent="0.25">
      <c r="A144" s="2" t="s">
        <v>148</v>
      </c>
      <c r="B144" s="2" t="s">
        <v>502</v>
      </c>
      <c r="C144" s="2" t="s">
        <v>510</v>
      </c>
      <c r="D144" s="2">
        <v>4</v>
      </c>
      <c r="E144" s="2" t="s">
        <v>519</v>
      </c>
      <c r="F144" s="3">
        <v>45739.266031126528</v>
      </c>
      <c r="G144" s="2" t="str">
        <f t="shared" si="4"/>
        <v>Mar-2025</v>
      </c>
      <c r="H144" s="2" t="str">
        <f t="shared" si="5"/>
        <v>Positive</v>
      </c>
    </row>
    <row r="145" spans="1:8" x14ac:dyDescent="0.25">
      <c r="A145" s="2" t="s">
        <v>149</v>
      </c>
      <c r="B145" s="2" t="s">
        <v>502</v>
      </c>
      <c r="C145" s="2" t="s">
        <v>506</v>
      </c>
      <c r="D145" s="2">
        <v>2</v>
      </c>
      <c r="E145" s="2" t="s">
        <v>515</v>
      </c>
      <c r="F145" s="3">
        <v>45702.266031126572</v>
      </c>
      <c r="G145" s="2" t="str">
        <f t="shared" si="4"/>
        <v>Feb-2025</v>
      </c>
      <c r="H145" s="2" t="str">
        <f t="shared" si="5"/>
        <v>Negative</v>
      </c>
    </row>
    <row r="146" spans="1:8" x14ac:dyDescent="0.25">
      <c r="A146" s="2" t="s">
        <v>150</v>
      </c>
      <c r="B146" s="2" t="s">
        <v>497</v>
      </c>
      <c r="C146" s="2" t="s">
        <v>510</v>
      </c>
      <c r="D146" s="2">
        <v>2</v>
      </c>
      <c r="E146" s="2" t="s">
        <v>519</v>
      </c>
      <c r="F146" s="3">
        <v>45544.266031126608</v>
      </c>
      <c r="G146" s="2" t="str">
        <f t="shared" si="4"/>
        <v>Sep-2024</v>
      </c>
      <c r="H146" s="2" t="str">
        <f t="shared" si="5"/>
        <v>Negative</v>
      </c>
    </row>
    <row r="147" spans="1:8" x14ac:dyDescent="0.25">
      <c r="A147" s="2" t="s">
        <v>151</v>
      </c>
      <c r="B147" s="2" t="s">
        <v>500</v>
      </c>
      <c r="C147" s="2" t="s">
        <v>505</v>
      </c>
      <c r="D147" s="2">
        <v>2</v>
      </c>
      <c r="E147" s="2" t="s">
        <v>520</v>
      </c>
      <c r="F147" s="3">
        <v>45881.266031126637</v>
      </c>
      <c r="G147" s="2" t="str">
        <f t="shared" si="4"/>
        <v>Aug-2025</v>
      </c>
      <c r="H147" s="2" t="str">
        <f t="shared" si="5"/>
        <v>Negative</v>
      </c>
    </row>
    <row r="148" spans="1:8" x14ac:dyDescent="0.25">
      <c r="A148" s="2" t="s">
        <v>152</v>
      </c>
      <c r="B148" s="2" t="s">
        <v>501</v>
      </c>
      <c r="C148" s="2" t="s">
        <v>512</v>
      </c>
      <c r="D148" s="2">
        <v>4</v>
      </c>
      <c r="E148" s="2" t="s">
        <v>522</v>
      </c>
      <c r="F148" s="3">
        <v>45592.266031126681</v>
      </c>
      <c r="G148" s="2" t="str">
        <f t="shared" si="4"/>
        <v>Oct-2024</v>
      </c>
      <c r="H148" s="2" t="str">
        <f t="shared" si="5"/>
        <v>Positive</v>
      </c>
    </row>
    <row r="149" spans="1:8" x14ac:dyDescent="0.25">
      <c r="A149" s="2" t="s">
        <v>153</v>
      </c>
      <c r="B149" s="2" t="s">
        <v>496</v>
      </c>
      <c r="C149" s="2" t="s">
        <v>510</v>
      </c>
      <c r="D149" s="2">
        <v>3</v>
      </c>
      <c r="E149" s="2" t="s">
        <v>520</v>
      </c>
      <c r="F149" s="3">
        <v>45793.26603112671</v>
      </c>
      <c r="G149" s="2" t="str">
        <f t="shared" si="4"/>
        <v>May-2025</v>
      </c>
      <c r="H149" s="2" t="str">
        <f t="shared" si="5"/>
        <v>Neutral</v>
      </c>
    </row>
    <row r="150" spans="1:8" x14ac:dyDescent="0.25">
      <c r="A150" s="2" t="s">
        <v>154</v>
      </c>
      <c r="B150" s="2" t="s">
        <v>499</v>
      </c>
      <c r="C150" s="2" t="s">
        <v>504</v>
      </c>
      <c r="D150" s="2">
        <v>4</v>
      </c>
      <c r="E150" s="2" t="s">
        <v>520</v>
      </c>
      <c r="F150" s="3">
        <v>45789.266031126761</v>
      </c>
      <c r="G150" s="2" t="str">
        <f t="shared" si="4"/>
        <v>May-2025</v>
      </c>
      <c r="H150" s="2" t="str">
        <f t="shared" si="5"/>
        <v>Positive</v>
      </c>
    </row>
    <row r="151" spans="1:8" x14ac:dyDescent="0.25">
      <c r="A151" s="2" t="s">
        <v>155</v>
      </c>
      <c r="B151" s="2" t="s">
        <v>502</v>
      </c>
      <c r="C151" s="2" t="s">
        <v>505</v>
      </c>
      <c r="D151" s="2">
        <v>2</v>
      </c>
      <c r="E151" s="2" t="s">
        <v>515</v>
      </c>
      <c r="F151" s="3">
        <v>45702.266031126797</v>
      </c>
      <c r="G151" s="2" t="str">
        <f t="shared" si="4"/>
        <v>Feb-2025</v>
      </c>
      <c r="H151" s="2" t="str">
        <f t="shared" si="5"/>
        <v>Negative</v>
      </c>
    </row>
    <row r="152" spans="1:8" x14ac:dyDescent="0.25">
      <c r="A152" s="2" t="s">
        <v>156</v>
      </c>
      <c r="B152" s="2" t="s">
        <v>500</v>
      </c>
      <c r="C152" s="2" t="s">
        <v>505</v>
      </c>
      <c r="D152" s="2">
        <v>4</v>
      </c>
      <c r="E152" s="2" t="s">
        <v>513</v>
      </c>
      <c r="F152" s="3">
        <v>45860.266031126826</v>
      </c>
      <c r="G152" s="2" t="str">
        <f t="shared" si="4"/>
        <v>Jul-2025</v>
      </c>
      <c r="H152" s="2" t="str">
        <f t="shared" si="5"/>
        <v>Positive</v>
      </c>
    </row>
    <row r="153" spans="1:8" x14ac:dyDescent="0.25">
      <c r="A153" s="2" t="s">
        <v>157</v>
      </c>
      <c r="B153" s="2" t="s">
        <v>496</v>
      </c>
      <c r="C153" s="2" t="s">
        <v>506</v>
      </c>
      <c r="D153" s="2">
        <v>1</v>
      </c>
      <c r="E153" s="2" t="s">
        <v>513</v>
      </c>
      <c r="F153" s="3">
        <v>45668.266031126863</v>
      </c>
      <c r="G153" s="2" t="str">
        <f t="shared" si="4"/>
        <v>Jan-2025</v>
      </c>
      <c r="H153" s="2" t="str">
        <f t="shared" si="5"/>
        <v>Negative</v>
      </c>
    </row>
    <row r="154" spans="1:8" x14ac:dyDescent="0.25">
      <c r="A154" s="2" t="s">
        <v>158</v>
      </c>
      <c r="B154" s="2" t="s">
        <v>497</v>
      </c>
      <c r="C154" s="2" t="s">
        <v>507</v>
      </c>
      <c r="D154" s="2">
        <v>3</v>
      </c>
      <c r="E154" s="2" t="s">
        <v>517</v>
      </c>
      <c r="F154" s="3">
        <v>45710.266031126906</v>
      </c>
      <c r="G154" s="2" t="str">
        <f t="shared" si="4"/>
        <v>Feb-2025</v>
      </c>
      <c r="H154" s="2" t="str">
        <f t="shared" si="5"/>
        <v>Neutral</v>
      </c>
    </row>
    <row r="155" spans="1:8" x14ac:dyDescent="0.25">
      <c r="A155" s="2" t="s">
        <v>159</v>
      </c>
      <c r="B155" s="2" t="s">
        <v>498</v>
      </c>
      <c r="C155" s="2" t="s">
        <v>510</v>
      </c>
      <c r="D155" s="2">
        <v>2</v>
      </c>
      <c r="E155" s="2" t="s">
        <v>518</v>
      </c>
      <c r="F155" s="3">
        <v>45584.266031126943</v>
      </c>
      <c r="G155" s="2" t="str">
        <f t="shared" si="4"/>
        <v>Oct-2024</v>
      </c>
      <c r="H155" s="2" t="str">
        <f t="shared" si="5"/>
        <v>Negative</v>
      </c>
    </row>
    <row r="156" spans="1:8" x14ac:dyDescent="0.25">
      <c r="A156" s="2" t="s">
        <v>160</v>
      </c>
      <c r="B156" s="2" t="s">
        <v>500</v>
      </c>
      <c r="C156" s="2" t="s">
        <v>504</v>
      </c>
      <c r="D156" s="2">
        <v>3</v>
      </c>
      <c r="E156" s="2" t="s">
        <v>521</v>
      </c>
      <c r="F156" s="3">
        <v>45801.266031126986</v>
      </c>
      <c r="G156" s="2" t="str">
        <f t="shared" si="4"/>
        <v>May-2025</v>
      </c>
      <c r="H156" s="2" t="str">
        <f t="shared" si="5"/>
        <v>Neutral</v>
      </c>
    </row>
    <row r="157" spans="1:8" x14ac:dyDescent="0.25">
      <c r="A157" s="2" t="s">
        <v>161</v>
      </c>
      <c r="B157" s="2" t="s">
        <v>496</v>
      </c>
      <c r="C157" s="2" t="s">
        <v>512</v>
      </c>
      <c r="D157" s="2">
        <v>5</v>
      </c>
      <c r="E157" s="2" t="s">
        <v>514</v>
      </c>
      <c r="F157" s="3">
        <v>45820.266031127023</v>
      </c>
      <c r="G157" s="2" t="str">
        <f t="shared" si="4"/>
        <v>Jun-2025</v>
      </c>
      <c r="H157" s="2" t="str">
        <f t="shared" si="5"/>
        <v>Positive</v>
      </c>
    </row>
    <row r="158" spans="1:8" x14ac:dyDescent="0.25">
      <c r="A158" s="2" t="s">
        <v>162</v>
      </c>
      <c r="B158" s="2" t="s">
        <v>496</v>
      </c>
      <c r="C158" s="2" t="s">
        <v>512</v>
      </c>
      <c r="D158" s="2">
        <v>1</v>
      </c>
      <c r="E158" s="2" t="s">
        <v>514</v>
      </c>
      <c r="F158" s="3">
        <v>45647.266031127059</v>
      </c>
      <c r="G158" s="2" t="str">
        <f t="shared" si="4"/>
        <v>Dec-2024</v>
      </c>
      <c r="H158" s="2" t="str">
        <f t="shared" si="5"/>
        <v>Negative</v>
      </c>
    </row>
    <row r="159" spans="1:8" x14ac:dyDescent="0.25">
      <c r="A159" s="2" t="s">
        <v>163</v>
      </c>
      <c r="B159" s="2" t="s">
        <v>498</v>
      </c>
      <c r="C159" s="2" t="s">
        <v>504</v>
      </c>
      <c r="D159" s="2">
        <v>4</v>
      </c>
      <c r="E159" s="2" t="s">
        <v>516</v>
      </c>
      <c r="F159" s="3">
        <v>45845.266031127103</v>
      </c>
      <c r="G159" s="2" t="str">
        <f t="shared" si="4"/>
        <v>Jul-2025</v>
      </c>
      <c r="H159" s="2" t="str">
        <f t="shared" si="5"/>
        <v>Positive</v>
      </c>
    </row>
    <row r="160" spans="1:8" x14ac:dyDescent="0.25">
      <c r="A160" s="2" t="s">
        <v>164</v>
      </c>
      <c r="B160" s="2" t="s">
        <v>494</v>
      </c>
      <c r="C160" s="2" t="s">
        <v>508</v>
      </c>
      <c r="D160" s="2">
        <v>1</v>
      </c>
      <c r="E160" s="2" t="s">
        <v>515</v>
      </c>
      <c r="F160" s="3">
        <v>45736.266031127132</v>
      </c>
      <c r="G160" s="2" t="str">
        <f t="shared" si="4"/>
        <v>Mar-2025</v>
      </c>
      <c r="H160" s="2" t="str">
        <f t="shared" si="5"/>
        <v>Negative</v>
      </c>
    </row>
    <row r="161" spans="1:8" x14ac:dyDescent="0.25">
      <c r="A161" s="2" t="s">
        <v>165</v>
      </c>
      <c r="B161" s="2" t="s">
        <v>502</v>
      </c>
      <c r="C161" s="2" t="s">
        <v>506</v>
      </c>
      <c r="D161" s="2">
        <v>1</v>
      </c>
      <c r="E161" s="2" t="s">
        <v>520</v>
      </c>
      <c r="F161" s="3">
        <v>45691.266031127183</v>
      </c>
      <c r="G161" s="2" t="str">
        <f t="shared" si="4"/>
        <v>Feb-2025</v>
      </c>
      <c r="H161" s="2" t="str">
        <f t="shared" si="5"/>
        <v>Negative</v>
      </c>
    </row>
    <row r="162" spans="1:8" x14ac:dyDescent="0.25">
      <c r="A162" s="2" t="s">
        <v>166</v>
      </c>
      <c r="B162" s="2" t="s">
        <v>497</v>
      </c>
      <c r="C162" s="2" t="s">
        <v>504</v>
      </c>
      <c r="D162" s="2">
        <v>2</v>
      </c>
      <c r="E162" s="2" t="s">
        <v>515</v>
      </c>
      <c r="F162" s="3">
        <v>45587.266031127212</v>
      </c>
      <c r="G162" s="2" t="str">
        <f t="shared" si="4"/>
        <v>Oct-2024</v>
      </c>
      <c r="H162" s="2" t="str">
        <f t="shared" si="5"/>
        <v>Negative</v>
      </c>
    </row>
    <row r="163" spans="1:8" x14ac:dyDescent="0.25">
      <c r="A163" s="2" t="s">
        <v>167</v>
      </c>
      <c r="B163" s="2" t="s">
        <v>502</v>
      </c>
      <c r="C163" s="2" t="s">
        <v>511</v>
      </c>
      <c r="D163" s="2">
        <v>4</v>
      </c>
      <c r="E163" s="2" t="s">
        <v>513</v>
      </c>
      <c r="F163" s="3">
        <v>45857.266031127248</v>
      </c>
      <c r="G163" s="2" t="str">
        <f t="shared" si="4"/>
        <v>Jul-2025</v>
      </c>
      <c r="H163" s="2" t="str">
        <f t="shared" si="5"/>
        <v>Positive</v>
      </c>
    </row>
    <row r="164" spans="1:8" x14ac:dyDescent="0.25">
      <c r="A164" s="2" t="s">
        <v>168</v>
      </c>
      <c r="B164" s="2" t="s">
        <v>498</v>
      </c>
      <c r="C164" s="2" t="s">
        <v>508</v>
      </c>
      <c r="D164" s="2">
        <v>4</v>
      </c>
      <c r="E164" s="2" t="s">
        <v>521</v>
      </c>
      <c r="F164" s="3">
        <v>45873.266031127292</v>
      </c>
      <c r="G164" s="2" t="str">
        <f t="shared" si="4"/>
        <v>Aug-2025</v>
      </c>
      <c r="H164" s="2" t="str">
        <f t="shared" si="5"/>
        <v>Positive</v>
      </c>
    </row>
    <row r="165" spans="1:8" x14ac:dyDescent="0.25">
      <c r="A165" s="2" t="s">
        <v>169</v>
      </c>
      <c r="B165" s="2" t="s">
        <v>497</v>
      </c>
      <c r="C165" s="2" t="s">
        <v>508</v>
      </c>
      <c r="D165" s="2">
        <v>5</v>
      </c>
      <c r="E165" s="2" t="s">
        <v>515</v>
      </c>
      <c r="F165" s="3">
        <v>45864.266031127328</v>
      </c>
      <c r="G165" s="2" t="str">
        <f t="shared" si="4"/>
        <v>Jul-2025</v>
      </c>
      <c r="H165" s="2" t="str">
        <f t="shared" si="5"/>
        <v>Positive</v>
      </c>
    </row>
    <row r="166" spans="1:8" x14ac:dyDescent="0.25">
      <c r="A166" s="2" t="s">
        <v>170</v>
      </c>
      <c r="B166" s="2" t="s">
        <v>499</v>
      </c>
      <c r="C166" s="2" t="s">
        <v>507</v>
      </c>
      <c r="D166" s="2">
        <v>3</v>
      </c>
      <c r="E166" s="2" t="s">
        <v>518</v>
      </c>
      <c r="F166" s="3">
        <v>45738.266031127358</v>
      </c>
      <c r="G166" s="2" t="str">
        <f t="shared" si="4"/>
        <v>Mar-2025</v>
      </c>
      <c r="H166" s="2" t="str">
        <f t="shared" si="5"/>
        <v>Neutral</v>
      </c>
    </row>
    <row r="167" spans="1:8" x14ac:dyDescent="0.25">
      <c r="A167" s="2" t="s">
        <v>171</v>
      </c>
      <c r="B167" s="2" t="s">
        <v>494</v>
      </c>
      <c r="C167" s="2" t="s">
        <v>511</v>
      </c>
      <c r="D167" s="2">
        <v>5</v>
      </c>
      <c r="E167" s="2" t="s">
        <v>521</v>
      </c>
      <c r="F167" s="3">
        <v>45885.266031127387</v>
      </c>
      <c r="G167" s="2" t="str">
        <f t="shared" si="4"/>
        <v>Aug-2025</v>
      </c>
      <c r="H167" s="2" t="str">
        <f t="shared" si="5"/>
        <v>Positive</v>
      </c>
    </row>
    <row r="168" spans="1:8" x14ac:dyDescent="0.25">
      <c r="A168" s="2" t="s">
        <v>172</v>
      </c>
      <c r="B168" s="2" t="s">
        <v>499</v>
      </c>
      <c r="C168" s="2" t="s">
        <v>506</v>
      </c>
      <c r="D168" s="2">
        <v>3</v>
      </c>
      <c r="E168" s="2" t="s">
        <v>519</v>
      </c>
      <c r="F168" s="3">
        <v>45594.266031127438</v>
      </c>
      <c r="G168" s="2" t="str">
        <f t="shared" si="4"/>
        <v>Oct-2024</v>
      </c>
      <c r="H168" s="2" t="str">
        <f t="shared" si="5"/>
        <v>Neutral</v>
      </c>
    </row>
    <row r="169" spans="1:8" x14ac:dyDescent="0.25">
      <c r="A169" s="2" t="s">
        <v>173</v>
      </c>
      <c r="B169" s="2" t="s">
        <v>495</v>
      </c>
      <c r="C169" s="2" t="s">
        <v>507</v>
      </c>
      <c r="D169" s="2">
        <v>2</v>
      </c>
      <c r="E169" s="2" t="s">
        <v>518</v>
      </c>
      <c r="F169" s="3">
        <v>45588.266031127467</v>
      </c>
      <c r="G169" s="2" t="str">
        <f t="shared" si="4"/>
        <v>Oct-2024</v>
      </c>
      <c r="H169" s="2" t="str">
        <f t="shared" si="5"/>
        <v>Negative</v>
      </c>
    </row>
    <row r="170" spans="1:8" x14ac:dyDescent="0.25">
      <c r="A170" s="2" t="s">
        <v>174</v>
      </c>
      <c r="B170" s="2" t="s">
        <v>493</v>
      </c>
      <c r="C170" s="2" t="s">
        <v>512</v>
      </c>
      <c r="D170" s="2">
        <v>5</v>
      </c>
      <c r="E170" s="2" t="s">
        <v>519</v>
      </c>
      <c r="F170" s="3">
        <v>45635.26603112751</v>
      </c>
      <c r="G170" s="2" t="str">
        <f t="shared" si="4"/>
        <v>Dec-2024</v>
      </c>
      <c r="H170" s="2" t="str">
        <f t="shared" si="5"/>
        <v>Positive</v>
      </c>
    </row>
    <row r="171" spans="1:8" x14ac:dyDescent="0.25">
      <c r="A171" s="2" t="s">
        <v>175</v>
      </c>
      <c r="B171" s="2" t="s">
        <v>498</v>
      </c>
      <c r="C171" s="2" t="s">
        <v>509</v>
      </c>
      <c r="D171" s="2">
        <v>3</v>
      </c>
      <c r="E171" s="2" t="s">
        <v>522</v>
      </c>
      <c r="F171" s="3">
        <v>45747.266031127561</v>
      </c>
      <c r="G171" s="2" t="str">
        <f t="shared" si="4"/>
        <v>Mar-2025</v>
      </c>
      <c r="H171" s="2" t="str">
        <f t="shared" si="5"/>
        <v>Neutral</v>
      </c>
    </row>
    <row r="172" spans="1:8" x14ac:dyDescent="0.25">
      <c r="A172" s="2" t="s">
        <v>176</v>
      </c>
      <c r="B172" s="2" t="s">
        <v>497</v>
      </c>
      <c r="C172" s="2" t="s">
        <v>506</v>
      </c>
      <c r="D172" s="2">
        <v>1</v>
      </c>
      <c r="E172" s="2" t="s">
        <v>516</v>
      </c>
      <c r="F172" s="3">
        <v>45682.26603112759</v>
      </c>
      <c r="G172" s="2" t="str">
        <f t="shared" si="4"/>
        <v>Jan-2025</v>
      </c>
      <c r="H172" s="2" t="str">
        <f t="shared" si="5"/>
        <v>Negative</v>
      </c>
    </row>
    <row r="173" spans="1:8" x14ac:dyDescent="0.25">
      <c r="A173" s="2" t="s">
        <v>177</v>
      </c>
      <c r="B173" s="2" t="s">
        <v>494</v>
      </c>
      <c r="C173" s="2" t="s">
        <v>511</v>
      </c>
      <c r="D173" s="2">
        <v>5</v>
      </c>
      <c r="E173" s="2" t="s">
        <v>522</v>
      </c>
      <c r="F173" s="3">
        <v>45795.266031127627</v>
      </c>
      <c r="G173" s="2" t="str">
        <f t="shared" si="4"/>
        <v>May-2025</v>
      </c>
      <c r="H173" s="2" t="str">
        <f t="shared" si="5"/>
        <v>Positive</v>
      </c>
    </row>
    <row r="174" spans="1:8" x14ac:dyDescent="0.25">
      <c r="A174" s="2" t="s">
        <v>178</v>
      </c>
      <c r="B174" s="2" t="s">
        <v>497</v>
      </c>
      <c r="C174" s="2" t="s">
        <v>509</v>
      </c>
      <c r="D174" s="2">
        <v>3</v>
      </c>
      <c r="E174" s="2" t="s">
        <v>522</v>
      </c>
      <c r="F174" s="3">
        <v>45535.26603112767</v>
      </c>
      <c r="G174" s="2" t="str">
        <f t="shared" si="4"/>
        <v>Aug-2024</v>
      </c>
      <c r="H174" s="2" t="str">
        <f t="shared" si="5"/>
        <v>Neutral</v>
      </c>
    </row>
    <row r="175" spans="1:8" x14ac:dyDescent="0.25">
      <c r="A175" s="2" t="s">
        <v>179</v>
      </c>
      <c r="B175" s="2" t="s">
        <v>494</v>
      </c>
      <c r="C175" s="2" t="s">
        <v>504</v>
      </c>
      <c r="D175" s="2">
        <v>1</v>
      </c>
      <c r="E175" s="2" t="s">
        <v>520</v>
      </c>
      <c r="F175" s="3">
        <v>45595.266031127707</v>
      </c>
      <c r="G175" s="2" t="str">
        <f t="shared" si="4"/>
        <v>Oct-2024</v>
      </c>
      <c r="H175" s="2" t="str">
        <f t="shared" si="5"/>
        <v>Negative</v>
      </c>
    </row>
    <row r="176" spans="1:8" x14ac:dyDescent="0.25">
      <c r="A176" s="2" t="s">
        <v>180</v>
      </c>
      <c r="B176" s="2" t="s">
        <v>497</v>
      </c>
      <c r="C176" s="2" t="s">
        <v>503</v>
      </c>
      <c r="D176" s="2">
        <v>1</v>
      </c>
      <c r="E176" s="2" t="s">
        <v>519</v>
      </c>
      <c r="F176" s="3">
        <v>45755.266031127758</v>
      </c>
      <c r="G176" s="2" t="str">
        <f t="shared" si="4"/>
        <v>Apr-2025</v>
      </c>
      <c r="H176" s="2" t="str">
        <f t="shared" si="5"/>
        <v>Negative</v>
      </c>
    </row>
    <row r="177" spans="1:8" x14ac:dyDescent="0.25">
      <c r="A177" s="2" t="s">
        <v>181</v>
      </c>
      <c r="B177" s="2" t="s">
        <v>494</v>
      </c>
      <c r="C177" s="2" t="s">
        <v>507</v>
      </c>
      <c r="D177" s="2">
        <v>2</v>
      </c>
      <c r="E177" s="2" t="s">
        <v>520</v>
      </c>
      <c r="F177" s="3">
        <v>45773.266031127787</v>
      </c>
      <c r="G177" s="2" t="str">
        <f t="shared" si="4"/>
        <v>Apr-2025</v>
      </c>
      <c r="H177" s="2" t="str">
        <f t="shared" si="5"/>
        <v>Negative</v>
      </c>
    </row>
    <row r="178" spans="1:8" x14ac:dyDescent="0.25">
      <c r="A178" s="2" t="s">
        <v>182</v>
      </c>
      <c r="B178" s="2" t="s">
        <v>499</v>
      </c>
      <c r="C178" s="2" t="s">
        <v>505</v>
      </c>
      <c r="D178" s="2">
        <v>1</v>
      </c>
      <c r="E178" s="2" t="s">
        <v>515</v>
      </c>
      <c r="F178" s="3">
        <v>45661.266031127823</v>
      </c>
      <c r="G178" s="2" t="str">
        <f t="shared" si="4"/>
        <v>Jan-2025</v>
      </c>
      <c r="H178" s="2" t="str">
        <f t="shared" si="5"/>
        <v>Negative</v>
      </c>
    </row>
    <row r="179" spans="1:8" x14ac:dyDescent="0.25">
      <c r="A179" s="2" t="s">
        <v>183</v>
      </c>
      <c r="B179" s="2" t="s">
        <v>501</v>
      </c>
      <c r="C179" s="2" t="s">
        <v>511</v>
      </c>
      <c r="D179" s="2">
        <v>4</v>
      </c>
      <c r="E179" s="2" t="s">
        <v>522</v>
      </c>
      <c r="F179" s="3">
        <v>45606.26603112786</v>
      </c>
      <c r="G179" s="2" t="str">
        <f t="shared" si="4"/>
        <v>Nov-2024</v>
      </c>
      <c r="H179" s="2" t="str">
        <f t="shared" si="5"/>
        <v>Positive</v>
      </c>
    </row>
    <row r="180" spans="1:8" x14ac:dyDescent="0.25">
      <c r="A180" s="2" t="s">
        <v>184</v>
      </c>
      <c r="B180" s="2" t="s">
        <v>501</v>
      </c>
      <c r="C180" s="2" t="s">
        <v>505</v>
      </c>
      <c r="D180" s="2">
        <v>4</v>
      </c>
      <c r="E180" s="2" t="s">
        <v>521</v>
      </c>
      <c r="F180" s="3">
        <v>45737.266031127903</v>
      </c>
      <c r="G180" s="2" t="str">
        <f t="shared" si="4"/>
        <v>Mar-2025</v>
      </c>
      <c r="H180" s="2" t="str">
        <f t="shared" si="5"/>
        <v>Positive</v>
      </c>
    </row>
    <row r="181" spans="1:8" x14ac:dyDescent="0.25">
      <c r="A181" s="2" t="s">
        <v>185</v>
      </c>
      <c r="B181" s="2" t="s">
        <v>500</v>
      </c>
      <c r="C181" s="2" t="s">
        <v>506</v>
      </c>
      <c r="D181" s="2">
        <v>3</v>
      </c>
      <c r="E181" s="2" t="s">
        <v>522</v>
      </c>
      <c r="F181" s="3">
        <v>45784.26603112794</v>
      </c>
      <c r="G181" s="2" t="str">
        <f t="shared" si="4"/>
        <v>May-2025</v>
      </c>
      <c r="H181" s="2" t="str">
        <f t="shared" si="5"/>
        <v>Neutral</v>
      </c>
    </row>
    <row r="182" spans="1:8" x14ac:dyDescent="0.25">
      <c r="A182" s="2" t="s">
        <v>186</v>
      </c>
      <c r="B182" s="2" t="s">
        <v>495</v>
      </c>
      <c r="C182" s="2" t="s">
        <v>508</v>
      </c>
      <c r="D182" s="2">
        <v>1</v>
      </c>
      <c r="E182" s="2" t="s">
        <v>520</v>
      </c>
      <c r="F182" s="3">
        <v>45766.266031127983</v>
      </c>
      <c r="G182" s="2" t="str">
        <f t="shared" si="4"/>
        <v>Apr-2025</v>
      </c>
      <c r="H182" s="2" t="str">
        <f t="shared" si="5"/>
        <v>Negative</v>
      </c>
    </row>
    <row r="183" spans="1:8" x14ac:dyDescent="0.25">
      <c r="A183" s="2" t="s">
        <v>187</v>
      </c>
      <c r="B183" s="2" t="s">
        <v>499</v>
      </c>
      <c r="C183" s="2" t="s">
        <v>505</v>
      </c>
      <c r="D183" s="2">
        <v>2</v>
      </c>
      <c r="E183" s="2" t="s">
        <v>521</v>
      </c>
      <c r="F183" s="3">
        <v>45660.266031128012</v>
      </c>
      <c r="G183" s="2" t="str">
        <f t="shared" si="4"/>
        <v>Jan-2025</v>
      </c>
      <c r="H183" s="2" t="str">
        <f t="shared" si="5"/>
        <v>Negative</v>
      </c>
    </row>
    <row r="184" spans="1:8" x14ac:dyDescent="0.25">
      <c r="A184" s="2" t="s">
        <v>188</v>
      </c>
      <c r="B184" s="2" t="s">
        <v>500</v>
      </c>
      <c r="C184" s="2" t="s">
        <v>509</v>
      </c>
      <c r="D184" s="2">
        <v>4</v>
      </c>
      <c r="E184" s="2" t="s">
        <v>518</v>
      </c>
      <c r="F184" s="3">
        <v>45842.266031128063</v>
      </c>
      <c r="G184" s="2" t="str">
        <f t="shared" si="4"/>
        <v>Jul-2025</v>
      </c>
      <c r="H184" s="2" t="str">
        <f t="shared" si="5"/>
        <v>Positive</v>
      </c>
    </row>
    <row r="185" spans="1:8" x14ac:dyDescent="0.25">
      <c r="A185" s="2" t="s">
        <v>189</v>
      </c>
      <c r="B185" s="2" t="s">
        <v>494</v>
      </c>
      <c r="C185" s="2" t="s">
        <v>504</v>
      </c>
      <c r="D185" s="2">
        <v>5</v>
      </c>
      <c r="E185" s="2" t="s">
        <v>515</v>
      </c>
      <c r="F185" s="3">
        <v>45800.266031128092</v>
      </c>
      <c r="G185" s="2" t="str">
        <f t="shared" si="4"/>
        <v>May-2025</v>
      </c>
      <c r="H185" s="2" t="str">
        <f t="shared" si="5"/>
        <v>Positive</v>
      </c>
    </row>
    <row r="186" spans="1:8" x14ac:dyDescent="0.25">
      <c r="A186" s="2" t="s">
        <v>190</v>
      </c>
      <c r="B186" s="2" t="s">
        <v>499</v>
      </c>
      <c r="C186" s="2" t="s">
        <v>509</v>
      </c>
      <c r="D186" s="2">
        <v>4</v>
      </c>
      <c r="E186" s="2" t="s">
        <v>516</v>
      </c>
      <c r="F186" s="3">
        <v>45612.266031128143</v>
      </c>
      <c r="G186" s="2" t="str">
        <f t="shared" si="4"/>
        <v>Nov-2024</v>
      </c>
      <c r="H186" s="2" t="str">
        <f t="shared" si="5"/>
        <v>Positive</v>
      </c>
    </row>
    <row r="187" spans="1:8" x14ac:dyDescent="0.25">
      <c r="A187" s="2" t="s">
        <v>191</v>
      </c>
      <c r="B187" s="2" t="s">
        <v>501</v>
      </c>
      <c r="C187" s="2" t="s">
        <v>507</v>
      </c>
      <c r="D187" s="2">
        <v>4</v>
      </c>
      <c r="E187" s="2" t="s">
        <v>515</v>
      </c>
      <c r="F187" s="3">
        <v>45870.266031128172</v>
      </c>
      <c r="G187" s="2" t="str">
        <f t="shared" si="4"/>
        <v>Aug-2025</v>
      </c>
      <c r="H187" s="2" t="str">
        <f t="shared" si="5"/>
        <v>Positive</v>
      </c>
    </row>
    <row r="188" spans="1:8" x14ac:dyDescent="0.25">
      <c r="A188" s="2" t="s">
        <v>192</v>
      </c>
      <c r="B188" s="2" t="s">
        <v>497</v>
      </c>
      <c r="C188" s="2" t="s">
        <v>510</v>
      </c>
      <c r="D188" s="2">
        <v>3</v>
      </c>
      <c r="E188" s="2" t="s">
        <v>513</v>
      </c>
      <c r="F188" s="3">
        <v>45575.266031128209</v>
      </c>
      <c r="G188" s="2" t="str">
        <f t="shared" si="4"/>
        <v>Oct-2024</v>
      </c>
      <c r="H188" s="2" t="str">
        <f t="shared" si="5"/>
        <v>Neutral</v>
      </c>
    </row>
    <row r="189" spans="1:8" x14ac:dyDescent="0.25">
      <c r="A189" s="2" t="s">
        <v>193</v>
      </c>
      <c r="B189" s="2" t="s">
        <v>501</v>
      </c>
      <c r="C189" s="2" t="s">
        <v>506</v>
      </c>
      <c r="D189" s="2">
        <v>5</v>
      </c>
      <c r="E189" s="2" t="s">
        <v>515</v>
      </c>
      <c r="F189" s="3">
        <v>45669.266031128238</v>
      </c>
      <c r="G189" s="2" t="str">
        <f t="shared" si="4"/>
        <v>Jan-2025</v>
      </c>
      <c r="H189" s="2" t="str">
        <f t="shared" si="5"/>
        <v>Positive</v>
      </c>
    </row>
    <row r="190" spans="1:8" x14ac:dyDescent="0.25">
      <c r="A190" s="2" t="s">
        <v>194</v>
      </c>
      <c r="B190" s="2" t="s">
        <v>498</v>
      </c>
      <c r="C190" s="2" t="s">
        <v>512</v>
      </c>
      <c r="D190" s="2">
        <v>2</v>
      </c>
      <c r="E190" s="2" t="s">
        <v>522</v>
      </c>
      <c r="F190" s="3">
        <v>45754.266031128267</v>
      </c>
      <c r="G190" s="2" t="str">
        <f t="shared" si="4"/>
        <v>Apr-2025</v>
      </c>
      <c r="H190" s="2" t="str">
        <f t="shared" si="5"/>
        <v>Negative</v>
      </c>
    </row>
    <row r="191" spans="1:8" x14ac:dyDescent="0.25">
      <c r="A191" s="2" t="s">
        <v>195</v>
      </c>
      <c r="B191" s="2" t="s">
        <v>494</v>
      </c>
      <c r="C191" s="2" t="s">
        <v>503</v>
      </c>
      <c r="D191" s="2">
        <v>1</v>
      </c>
      <c r="E191" s="2" t="s">
        <v>513</v>
      </c>
      <c r="F191" s="3">
        <v>45830.266031128311</v>
      </c>
      <c r="G191" s="2" t="str">
        <f t="shared" si="4"/>
        <v>Jun-2025</v>
      </c>
      <c r="H191" s="2" t="str">
        <f t="shared" si="5"/>
        <v>Negative</v>
      </c>
    </row>
    <row r="192" spans="1:8" x14ac:dyDescent="0.25">
      <c r="A192" s="2" t="s">
        <v>196</v>
      </c>
      <c r="B192" s="2" t="s">
        <v>499</v>
      </c>
      <c r="C192" s="2" t="s">
        <v>507</v>
      </c>
      <c r="D192" s="2">
        <v>3</v>
      </c>
      <c r="E192" s="2" t="s">
        <v>514</v>
      </c>
      <c r="F192" s="3">
        <v>45809.266031128347</v>
      </c>
      <c r="G192" s="2" t="str">
        <f t="shared" si="4"/>
        <v>Jun-2025</v>
      </c>
      <c r="H192" s="2" t="str">
        <f t="shared" si="5"/>
        <v>Neutral</v>
      </c>
    </row>
    <row r="193" spans="1:8" x14ac:dyDescent="0.25">
      <c r="A193" s="2" t="s">
        <v>197</v>
      </c>
      <c r="B193" s="2" t="s">
        <v>496</v>
      </c>
      <c r="C193" s="2" t="s">
        <v>504</v>
      </c>
      <c r="D193" s="2">
        <v>3</v>
      </c>
      <c r="E193" s="2" t="s">
        <v>518</v>
      </c>
      <c r="F193" s="3">
        <v>45871.266031128391</v>
      </c>
      <c r="G193" s="2" t="str">
        <f t="shared" si="4"/>
        <v>Aug-2025</v>
      </c>
      <c r="H193" s="2" t="str">
        <f t="shared" si="5"/>
        <v>Neutral</v>
      </c>
    </row>
    <row r="194" spans="1:8" x14ac:dyDescent="0.25">
      <c r="A194" s="2" t="s">
        <v>198</v>
      </c>
      <c r="B194" s="2" t="s">
        <v>502</v>
      </c>
      <c r="C194" s="2" t="s">
        <v>505</v>
      </c>
      <c r="D194" s="2">
        <v>3</v>
      </c>
      <c r="E194" s="2" t="s">
        <v>516</v>
      </c>
      <c r="F194" s="3">
        <v>45645.266031128427</v>
      </c>
      <c r="G194" s="2" t="str">
        <f t="shared" ref="G194:G257" si="6">TEXT(F194,"mmm-yyyy")</f>
        <v>Dec-2024</v>
      </c>
      <c r="H194" s="2" t="str">
        <f t="shared" ref="H194:H257" si="7">IF(D194&gt;=4,"Positive",IF(D194=3,"Neutral","Negative"))</f>
        <v>Neutral</v>
      </c>
    </row>
    <row r="195" spans="1:8" x14ac:dyDescent="0.25">
      <c r="A195" s="2" t="s">
        <v>199</v>
      </c>
      <c r="B195" s="2" t="s">
        <v>493</v>
      </c>
      <c r="C195" s="2" t="s">
        <v>511</v>
      </c>
      <c r="D195" s="2">
        <v>1</v>
      </c>
      <c r="E195" s="2" t="s">
        <v>513</v>
      </c>
      <c r="F195" s="3">
        <v>45746.266031128471</v>
      </c>
      <c r="G195" s="2" t="str">
        <f t="shared" si="6"/>
        <v>Mar-2025</v>
      </c>
      <c r="H195" s="2" t="str">
        <f t="shared" si="7"/>
        <v>Negative</v>
      </c>
    </row>
    <row r="196" spans="1:8" x14ac:dyDescent="0.25">
      <c r="A196" s="2" t="s">
        <v>200</v>
      </c>
      <c r="B196" s="2" t="s">
        <v>493</v>
      </c>
      <c r="C196" s="2" t="s">
        <v>510</v>
      </c>
      <c r="D196" s="2">
        <v>3</v>
      </c>
      <c r="E196" s="2" t="s">
        <v>515</v>
      </c>
      <c r="F196" s="3">
        <v>45811.266031128507</v>
      </c>
      <c r="G196" s="2" t="str">
        <f t="shared" si="6"/>
        <v>Jun-2025</v>
      </c>
      <c r="H196" s="2" t="str">
        <f t="shared" si="7"/>
        <v>Neutral</v>
      </c>
    </row>
    <row r="197" spans="1:8" x14ac:dyDescent="0.25">
      <c r="A197" s="2" t="s">
        <v>201</v>
      </c>
      <c r="B197" s="2" t="s">
        <v>500</v>
      </c>
      <c r="C197" s="2" t="s">
        <v>509</v>
      </c>
      <c r="D197" s="2">
        <v>2</v>
      </c>
      <c r="E197" s="2" t="s">
        <v>514</v>
      </c>
      <c r="F197" s="3">
        <v>45815.266031128544</v>
      </c>
      <c r="G197" s="2" t="str">
        <f t="shared" si="6"/>
        <v>Jun-2025</v>
      </c>
      <c r="H197" s="2" t="str">
        <f t="shared" si="7"/>
        <v>Negative</v>
      </c>
    </row>
    <row r="198" spans="1:8" x14ac:dyDescent="0.25">
      <c r="A198" s="2" t="s">
        <v>202</v>
      </c>
      <c r="B198" s="2" t="s">
        <v>496</v>
      </c>
      <c r="C198" s="2" t="s">
        <v>510</v>
      </c>
      <c r="D198" s="2">
        <v>1</v>
      </c>
      <c r="E198" s="2" t="s">
        <v>520</v>
      </c>
      <c r="F198" s="3">
        <v>45619.266031128587</v>
      </c>
      <c r="G198" s="2" t="str">
        <f t="shared" si="6"/>
        <v>Nov-2024</v>
      </c>
      <c r="H198" s="2" t="str">
        <f t="shared" si="7"/>
        <v>Negative</v>
      </c>
    </row>
    <row r="199" spans="1:8" x14ac:dyDescent="0.25">
      <c r="A199" s="2" t="s">
        <v>203</v>
      </c>
      <c r="B199" s="2" t="s">
        <v>497</v>
      </c>
      <c r="C199" s="2" t="s">
        <v>503</v>
      </c>
      <c r="D199" s="2">
        <v>4</v>
      </c>
      <c r="E199" s="2" t="s">
        <v>514</v>
      </c>
      <c r="F199" s="3">
        <v>45793.266031128624</v>
      </c>
      <c r="G199" s="2" t="str">
        <f t="shared" si="6"/>
        <v>May-2025</v>
      </c>
      <c r="H199" s="2" t="str">
        <f t="shared" si="7"/>
        <v>Positive</v>
      </c>
    </row>
    <row r="200" spans="1:8" x14ac:dyDescent="0.25">
      <c r="A200" s="2" t="s">
        <v>204</v>
      </c>
      <c r="B200" s="2" t="s">
        <v>494</v>
      </c>
      <c r="C200" s="2" t="s">
        <v>503</v>
      </c>
      <c r="D200" s="2">
        <v>2</v>
      </c>
      <c r="E200" s="2" t="s">
        <v>515</v>
      </c>
      <c r="F200" s="3">
        <v>45800.26603112866</v>
      </c>
      <c r="G200" s="2" t="str">
        <f t="shared" si="6"/>
        <v>May-2025</v>
      </c>
      <c r="H200" s="2" t="str">
        <f t="shared" si="7"/>
        <v>Negative</v>
      </c>
    </row>
    <row r="201" spans="1:8" x14ac:dyDescent="0.25">
      <c r="A201" s="2" t="s">
        <v>205</v>
      </c>
      <c r="B201" s="2" t="s">
        <v>502</v>
      </c>
      <c r="C201" s="2" t="s">
        <v>506</v>
      </c>
      <c r="D201" s="2">
        <v>5</v>
      </c>
      <c r="E201" s="2" t="s">
        <v>518</v>
      </c>
      <c r="F201" s="3">
        <v>45793.266031128689</v>
      </c>
      <c r="G201" s="2" t="str">
        <f t="shared" si="6"/>
        <v>May-2025</v>
      </c>
      <c r="H201" s="2" t="str">
        <f t="shared" si="7"/>
        <v>Positive</v>
      </c>
    </row>
    <row r="202" spans="1:8" x14ac:dyDescent="0.25">
      <c r="A202" s="2" t="s">
        <v>206</v>
      </c>
      <c r="B202" s="2" t="s">
        <v>497</v>
      </c>
      <c r="C202" s="2" t="s">
        <v>507</v>
      </c>
      <c r="D202" s="2">
        <v>5</v>
      </c>
      <c r="E202" s="2" t="s">
        <v>522</v>
      </c>
      <c r="F202" s="3">
        <v>45566.26603112874</v>
      </c>
      <c r="G202" s="2" t="str">
        <f t="shared" si="6"/>
        <v>Oct-2024</v>
      </c>
      <c r="H202" s="2" t="str">
        <f t="shared" si="7"/>
        <v>Positive</v>
      </c>
    </row>
    <row r="203" spans="1:8" x14ac:dyDescent="0.25">
      <c r="A203" s="2" t="s">
        <v>207</v>
      </c>
      <c r="B203" s="2" t="s">
        <v>494</v>
      </c>
      <c r="C203" s="2" t="s">
        <v>503</v>
      </c>
      <c r="D203" s="2">
        <v>2</v>
      </c>
      <c r="E203" s="2" t="s">
        <v>522</v>
      </c>
      <c r="F203" s="3">
        <v>45753.266031128776</v>
      </c>
      <c r="G203" s="2" t="str">
        <f t="shared" si="6"/>
        <v>Apr-2025</v>
      </c>
      <c r="H203" s="2" t="str">
        <f t="shared" si="7"/>
        <v>Negative</v>
      </c>
    </row>
    <row r="204" spans="1:8" x14ac:dyDescent="0.25">
      <c r="A204" s="2" t="s">
        <v>208</v>
      </c>
      <c r="B204" s="2" t="s">
        <v>496</v>
      </c>
      <c r="C204" s="2" t="s">
        <v>511</v>
      </c>
      <c r="D204" s="2">
        <v>3</v>
      </c>
      <c r="E204" s="2" t="s">
        <v>517</v>
      </c>
      <c r="F204" s="3">
        <v>45634.26603112882</v>
      </c>
      <c r="G204" s="2" t="str">
        <f t="shared" si="6"/>
        <v>Dec-2024</v>
      </c>
      <c r="H204" s="2" t="str">
        <f t="shared" si="7"/>
        <v>Neutral</v>
      </c>
    </row>
    <row r="205" spans="1:8" x14ac:dyDescent="0.25">
      <c r="A205" s="2" t="s">
        <v>209</v>
      </c>
      <c r="B205" s="2" t="s">
        <v>494</v>
      </c>
      <c r="C205" s="2" t="s">
        <v>510</v>
      </c>
      <c r="D205" s="2">
        <v>3</v>
      </c>
      <c r="E205" s="2" t="s">
        <v>516</v>
      </c>
      <c r="F205" s="3">
        <v>45847.266031128856</v>
      </c>
      <c r="G205" s="2" t="str">
        <f t="shared" si="6"/>
        <v>Jul-2025</v>
      </c>
      <c r="H205" s="2" t="str">
        <f t="shared" si="7"/>
        <v>Neutral</v>
      </c>
    </row>
    <row r="206" spans="1:8" x14ac:dyDescent="0.25">
      <c r="A206" s="2" t="s">
        <v>210</v>
      </c>
      <c r="B206" s="2" t="s">
        <v>495</v>
      </c>
      <c r="C206" s="2" t="s">
        <v>508</v>
      </c>
      <c r="D206" s="2">
        <v>3</v>
      </c>
      <c r="E206" s="2" t="s">
        <v>518</v>
      </c>
      <c r="F206" s="3">
        <v>45560.2660311289</v>
      </c>
      <c r="G206" s="2" t="str">
        <f t="shared" si="6"/>
        <v>Sep-2024</v>
      </c>
      <c r="H206" s="2" t="str">
        <f t="shared" si="7"/>
        <v>Neutral</v>
      </c>
    </row>
    <row r="207" spans="1:8" x14ac:dyDescent="0.25">
      <c r="A207" s="2" t="s">
        <v>211</v>
      </c>
      <c r="B207" s="2" t="s">
        <v>493</v>
      </c>
      <c r="C207" s="2" t="s">
        <v>505</v>
      </c>
      <c r="D207" s="2">
        <v>3</v>
      </c>
      <c r="E207" s="2" t="s">
        <v>514</v>
      </c>
      <c r="F207" s="3">
        <v>45549.266031128936</v>
      </c>
      <c r="G207" s="2" t="str">
        <f t="shared" si="6"/>
        <v>Sep-2024</v>
      </c>
      <c r="H207" s="2" t="str">
        <f t="shared" si="7"/>
        <v>Neutral</v>
      </c>
    </row>
    <row r="208" spans="1:8" x14ac:dyDescent="0.25">
      <c r="A208" s="2" t="s">
        <v>212</v>
      </c>
      <c r="B208" s="2" t="s">
        <v>498</v>
      </c>
      <c r="C208" s="2" t="s">
        <v>508</v>
      </c>
      <c r="D208" s="2">
        <v>2</v>
      </c>
      <c r="E208" s="2" t="s">
        <v>520</v>
      </c>
      <c r="F208" s="3">
        <v>45667.266031128973</v>
      </c>
      <c r="G208" s="2" t="str">
        <f t="shared" si="6"/>
        <v>Jan-2025</v>
      </c>
      <c r="H208" s="2" t="str">
        <f t="shared" si="7"/>
        <v>Negative</v>
      </c>
    </row>
    <row r="209" spans="1:8" x14ac:dyDescent="0.25">
      <c r="A209" s="2" t="s">
        <v>213</v>
      </c>
      <c r="B209" s="2" t="s">
        <v>501</v>
      </c>
      <c r="C209" s="2" t="s">
        <v>508</v>
      </c>
      <c r="D209" s="2">
        <v>4</v>
      </c>
      <c r="E209" s="2" t="s">
        <v>522</v>
      </c>
      <c r="F209" s="3">
        <v>45565.266031129002</v>
      </c>
      <c r="G209" s="2" t="str">
        <f t="shared" si="6"/>
        <v>Sep-2024</v>
      </c>
      <c r="H209" s="2" t="str">
        <f t="shared" si="7"/>
        <v>Positive</v>
      </c>
    </row>
    <row r="210" spans="1:8" x14ac:dyDescent="0.25">
      <c r="A210" s="2" t="s">
        <v>214</v>
      </c>
      <c r="B210" s="2" t="s">
        <v>495</v>
      </c>
      <c r="C210" s="2" t="s">
        <v>512</v>
      </c>
      <c r="D210" s="2">
        <v>5</v>
      </c>
      <c r="E210" s="2" t="s">
        <v>519</v>
      </c>
      <c r="F210" s="3">
        <v>45883.266031129053</v>
      </c>
      <c r="G210" s="2" t="str">
        <f t="shared" si="6"/>
        <v>Aug-2025</v>
      </c>
      <c r="H210" s="2" t="str">
        <f t="shared" si="7"/>
        <v>Positive</v>
      </c>
    </row>
    <row r="211" spans="1:8" x14ac:dyDescent="0.25">
      <c r="A211" s="2" t="s">
        <v>215</v>
      </c>
      <c r="B211" s="2" t="s">
        <v>498</v>
      </c>
      <c r="C211" s="2" t="s">
        <v>508</v>
      </c>
      <c r="D211" s="2">
        <v>4</v>
      </c>
      <c r="E211" s="2" t="s">
        <v>516</v>
      </c>
      <c r="F211" s="3">
        <v>45764.266031129089</v>
      </c>
      <c r="G211" s="2" t="str">
        <f t="shared" si="6"/>
        <v>Apr-2025</v>
      </c>
      <c r="H211" s="2" t="str">
        <f t="shared" si="7"/>
        <v>Positive</v>
      </c>
    </row>
    <row r="212" spans="1:8" x14ac:dyDescent="0.25">
      <c r="A212" s="2" t="s">
        <v>216</v>
      </c>
      <c r="B212" s="2" t="s">
        <v>498</v>
      </c>
      <c r="C212" s="2" t="s">
        <v>505</v>
      </c>
      <c r="D212" s="2">
        <v>3</v>
      </c>
      <c r="E212" s="2" t="s">
        <v>514</v>
      </c>
      <c r="F212" s="3">
        <v>45876.266031129118</v>
      </c>
      <c r="G212" s="2" t="str">
        <f t="shared" si="6"/>
        <v>Aug-2025</v>
      </c>
      <c r="H212" s="2" t="str">
        <f t="shared" si="7"/>
        <v>Neutral</v>
      </c>
    </row>
    <row r="213" spans="1:8" x14ac:dyDescent="0.25">
      <c r="A213" s="2" t="s">
        <v>217</v>
      </c>
      <c r="B213" s="2" t="s">
        <v>499</v>
      </c>
      <c r="C213" s="2" t="s">
        <v>510</v>
      </c>
      <c r="D213" s="2">
        <v>4</v>
      </c>
      <c r="E213" s="2" t="s">
        <v>513</v>
      </c>
      <c r="F213" s="3">
        <v>45647.266031129147</v>
      </c>
      <c r="G213" s="2" t="str">
        <f t="shared" si="6"/>
        <v>Dec-2024</v>
      </c>
      <c r="H213" s="2" t="str">
        <f t="shared" si="7"/>
        <v>Positive</v>
      </c>
    </row>
    <row r="214" spans="1:8" x14ac:dyDescent="0.25">
      <c r="A214" s="2" t="s">
        <v>218</v>
      </c>
      <c r="B214" s="2" t="s">
        <v>494</v>
      </c>
      <c r="C214" s="2" t="s">
        <v>505</v>
      </c>
      <c r="D214" s="2">
        <v>1</v>
      </c>
      <c r="E214" s="2" t="s">
        <v>521</v>
      </c>
      <c r="F214" s="3">
        <v>45624.266031129198</v>
      </c>
      <c r="G214" s="2" t="str">
        <f t="shared" si="6"/>
        <v>Nov-2024</v>
      </c>
      <c r="H214" s="2" t="str">
        <f t="shared" si="7"/>
        <v>Negative</v>
      </c>
    </row>
    <row r="215" spans="1:8" x14ac:dyDescent="0.25">
      <c r="A215" s="2" t="s">
        <v>219</v>
      </c>
      <c r="B215" s="2" t="s">
        <v>498</v>
      </c>
      <c r="C215" s="2" t="s">
        <v>503</v>
      </c>
      <c r="D215" s="2">
        <v>4</v>
      </c>
      <c r="E215" s="2" t="s">
        <v>522</v>
      </c>
      <c r="F215" s="3">
        <v>45522.266031129227</v>
      </c>
      <c r="G215" s="2" t="str">
        <f t="shared" si="6"/>
        <v>Aug-2024</v>
      </c>
      <c r="H215" s="2" t="str">
        <f t="shared" si="7"/>
        <v>Positive</v>
      </c>
    </row>
    <row r="216" spans="1:8" x14ac:dyDescent="0.25">
      <c r="A216" s="2" t="s">
        <v>220</v>
      </c>
      <c r="B216" s="2" t="s">
        <v>495</v>
      </c>
      <c r="C216" s="2" t="s">
        <v>508</v>
      </c>
      <c r="D216" s="2">
        <v>3</v>
      </c>
      <c r="E216" s="2" t="s">
        <v>518</v>
      </c>
      <c r="F216" s="3">
        <v>45673.266031129293</v>
      </c>
      <c r="G216" s="2" t="str">
        <f t="shared" si="6"/>
        <v>Jan-2025</v>
      </c>
      <c r="H216" s="2" t="str">
        <f t="shared" si="7"/>
        <v>Neutral</v>
      </c>
    </row>
    <row r="217" spans="1:8" x14ac:dyDescent="0.25">
      <c r="A217" s="2" t="s">
        <v>221</v>
      </c>
      <c r="B217" s="2" t="s">
        <v>493</v>
      </c>
      <c r="C217" s="2" t="s">
        <v>503</v>
      </c>
      <c r="D217" s="2">
        <v>4</v>
      </c>
      <c r="E217" s="2" t="s">
        <v>517</v>
      </c>
      <c r="F217" s="3">
        <v>45821.266031129308</v>
      </c>
      <c r="G217" s="2" t="str">
        <f t="shared" si="6"/>
        <v>Jun-2025</v>
      </c>
      <c r="H217" s="2" t="str">
        <f t="shared" si="7"/>
        <v>Positive</v>
      </c>
    </row>
    <row r="218" spans="1:8" x14ac:dyDescent="0.25">
      <c r="A218" s="2" t="s">
        <v>222</v>
      </c>
      <c r="B218" s="2" t="s">
        <v>495</v>
      </c>
      <c r="C218" s="2" t="s">
        <v>510</v>
      </c>
      <c r="D218" s="2">
        <v>3</v>
      </c>
      <c r="E218" s="2" t="s">
        <v>519</v>
      </c>
      <c r="F218" s="3">
        <v>45634.266031129373</v>
      </c>
      <c r="G218" s="2" t="str">
        <f t="shared" si="6"/>
        <v>Dec-2024</v>
      </c>
      <c r="H218" s="2" t="str">
        <f t="shared" si="7"/>
        <v>Neutral</v>
      </c>
    </row>
    <row r="219" spans="1:8" x14ac:dyDescent="0.25">
      <c r="A219" s="2" t="s">
        <v>223</v>
      </c>
      <c r="B219" s="2" t="s">
        <v>499</v>
      </c>
      <c r="C219" s="2" t="s">
        <v>504</v>
      </c>
      <c r="D219" s="2">
        <v>2</v>
      </c>
      <c r="E219" s="2" t="s">
        <v>513</v>
      </c>
      <c r="F219" s="3">
        <v>45691.266031129388</v>
      </c>
      <c r="G219" s="2" t="str">
        <f t="shared" si="6"/>
        <v>Feb-2025</v>
      </c>
      <c r="H219" s="2" t="str">
        <f t="shared" si="7"/>
        <v>Negative</v>
      </c>
    </row>
    <row r="220" spans="1:8" x14ac:dyDescent="0.25">
      <c r="A220" s="2" t="s">
        <v>224</v>
      </c>
      <c r="B220" s="2" t="s">
        <v>493</v>
      </c>
      <c r="C220" s="2" t="s">
        <v>507</v>
      </c>
      <c r="D220" s="2">
        <v>4</v>
      </c>
      <c r="E220" s="2" t="s">
        <v>519</v>
      </c>
      <c r="F220" s="3">
        <v>45562.266031129431</v>
      </c>
      <c r="G220" s="2" t="str">
        <f t="shared" si="6"/>
        <v>Sep-2024</v>
      </c>
      <c r="H220" s="2" t="str">
        <f t="shared" si="7"/>
        <v>Positive</v>
      </c>
    </row>
    <row r="221" spans="1:8" x14ac:dyDescent="0.25">
      <c r="A221" s="2" t="s">
        <v>225</v>
      </c>
      <c r="B221" s="2" t="s">
        <v>496</v>
      </c>
      <c r="C221" s="2" t="s">
        <v>511</v>
      </c>
      <c r="D221" s="2">
        <v>2</v>
      </c>
      <c r="E221" s="2" t="s">
        <v>518</v>
      </c>
      <c r="F221" s="3">
        <v>45800.266031129468</v>
      </c>
      <c r="G221" s="2" t="str">
        <f t="shared" si="6"/>
        <v>May-2025</v>
      </c>
      <c r="H221" s="2" t="str">
        <f t="shared" si="7"/>
        <v>Negative</v>
      </c>
    </row>
    <row r="222" spans="1:8" x14ac:dyDescent="0.25">
      <c r="A222" s="2" t="s">
        <v>226</v>
      </c>
      <c r="B222" s="2" t="s">
        <v>498</v>
      </c>
      <c r="C222" s="2" t="s">
        <v>510</v>
      </c>
      <c r="D222" s="2">
        <v>3</v>
      </c>
      <c r="E222" s="2" t="s">
        <v>515</v>
      </c>
      <c r="F222" s="3">
        <v>45648.266031129511</v>
      </c>
      <c r="G222" s="2" t="str">
        <f t="shared" si="6"/>
        <v>Dec-2024</v>
      </c>
      <c r="H222" s="2" t="str">
        <f t="shared" si="7"/>
        <v>Neutral</v>
      </c>
    </row>
    <row r="223" spans="1:8" x14ac:dyDescent="0.25">
      <c r="A223" s="2" t="s">
        <v>227</v>
      </c>
      <c r="B223" s="2" t="s">
        <v>500</v>
      </c>
      <c r="C223" s="2" t="s">
        <v>505</v>
      </c>
      <c r="D223" s="2">
        <v>1</v>
      </c>
      <c r="E223" s="2" t="s">
        <v>517</v>
      </c>
      <c r="F223" s="3">
        <v>45701.266031129548</v>
      </c>
      <c r="G223" s="2" t="str">
        <f t="shared" si="6"/>
        <v>Feb-2025</v>
      </c>
      <c r="H223" s="2" t="str">
        <f t="shared" si="7"/>
        <v>Negative</v>
      </c>
    </row>
    <row r="224" spans="1:8" x14ac:dyDescent="0.25">
      <c r="A224" s="2" t="s">
        <v>228</v>
      </c>
      <c r="B224" s="2" t="s">
        <v>498</v>
      </c>
      <c r="C224" s="2" t="s">
        <v>503</v>
      </c>
      <c r="D224" s="2">
        <v>1</v>
      </c>
      <c r="E224" s="2" t="s">
        <v>514</v>
      </c>
      <c r="F224" s="3">
        <v>45573.266031129577</v>
      </c>
      <c r="G224" s="2" t="str">
        <f t="shared" si="6"/>
        <v>Oct-2024</v>
      </c>
      <c r="H224" s="2" t="str">
        <f t="shared" si="7"/>
        <v>Negative</v>
      </c>
    </row>
    <row r="225" spans="1:8" x14ac:dyDescent="0.25">
      <c r="A225" s="2" t="s">
        <v>229</v>
      </c>
      <c r="B225" s="2" t="s">
        <v>494</v>
      </c>
      <c r="C225" s="2" t="s">
        <v>508</v>
      </c>
      <c r="D225" s="2">
        <v>3</v>
      </c>
      <c r="E225" s="2" t="s">
        <v>514</v>
      </c>
      <c r="F225" s="3">
        <v>45584.266031129628</v>
      </c>
      <c r="G225" s="2" t="str">
        <f t="shared" si="6"/>
        <v>Oct-2024</v>
      </c>
      <c r="H225" s="2" t="str">
        <f t="shared" si="7"/>
        <v>Neutral</v>
      </c>
    </row>
    <row r="226" spans="1:8" x14ac:dyDescent="0.25">
      <c r="A226" s="2" t="s">
        <v>230</v>
      </c>
      <c r="B226" s="2" t="s">
        <v>498</v>
      </c>
      <c r="C226" s="2" t="s">
        <v>511</v>
      </c>
      <c r="D226" s="2">
        <v>1</v>
      </c>
      <c r="E226" s="2" t="s">
        <v>518</v>
      </c>
      <c r="F226" s="3">
        <v>45758.266031129657</v>
      </c>
      <c r="G226" s="2" t="str">
        <f t="shared" si="6"/>
        <v>Apr-2025</v>
      </c>
      <c r="H226" s="2" t="str">
        <f t="shared" si="7"/>
        <v>Negative</v>
      </c>
    </row>
    <row r="227" spans="1:8" x14ac:dyDescent="0.25">
      <c r="A227" s="2" t="s">
        <v>231</v>
      </c>
      <c r="B227" s="2" t="s">
        <v>502</v>
      </c>
      <c r="C227" s="2" t="s">
        <v>506</v>
      </c>
      <c r="D227" s="2">
        <v>5</v>
      </c>
      <c r="E227" s="2" t="s">
        <v>516</v>
      </c>
      <c r="F227" s="3">
        <v>45717.2660311297</v>
      </c>
      <c r="G227" s="2" t="str">
        <f t="shared" si="6"/>
        <v>Mar-2025</v>
      </c>
      <c r="H227" s="2" t="str">
        <f t="shared" si="7"/>
        <v>Positive</v>
      </c>
    </row>
    <row r="228" spans="1:8" x14ac:dyDescent="0.25">
      <c r="A228" s="2" t="s">
        <v>232</v>
      </c>
      <c r="B228" s="2" t="s">
        <v>494</v>
      </c>
      <c r="C228" s="2" t="s">
        <v>512</v>
      </c>
      <c r="D228" s="2">
        <v>3</v>
      </c>
      <c r="E228" s="2" t="s">
        <v>517</v>
      </c>
      <c r="F228" s="3">
        <v>45701.266031129737</v>
      </c>
      <c r="G228" s="2" t="str">
        <f t="shared" si="6"/>
        <v>Feb-2025</v>
      </c>
      <c r="H228" s="2" t="str">
        <f t="shared" si="7"/>
        <v>Neutral</v>
      </c>
    </row>
    <row r="229" spans="1:8" x14ac:dyDescent="0.25">
      <c r="A229" s="2" t="s">
        <v>233</v>
      </c>
      <c r="B229" s="2" t="s">
        <v>502</v>
      </c>
      <c r="C229" s="2" t="s">
        <v>509</v>
      </c>
      <c r="D229" s="2">
        <v>1</v>
      </c>
      <c r="E229" s="2" t="s">
        <v>515</v>
      </c>
      <c r="F229" s="3">
        <v>45658.266031129773</v>
      </c>
      <c r="G229" s="2" t="str">
        <f t="shared" si="6"/>
        <v>Jan-2025</v>
      </c>
      <c r="H229" s="2" t="str">
        <f t="shared" si="7"/>
        <v>Negative</v>
      </c>
    </row>
    <row r="230" spans="1:8" x14ac:dyDescent="0.25">
      <c r="A230" s="2" t="s">
        <v>234</v>
      </c>
      <c r="B230" s="2" t="s">
        <v>498</v>
      </c>
      <c r="C230" s="2" t="s">
        <v>506</v>
      </c>
      <c r="D230" s="2">
        <v>1</v>
      </c>
      <c r="E230" s="2" t="s">
        <v>519</v>
      </c>
      <c r="F230" s="3">
        <v>45726.266031129817</v>
      </c>
      <c r="G230" s="2" t="str">
        <f t="shared" si="6"/>
        <v>Mar-2025</v>
      </c>
      <c r="H230" s="2" t="str">
        <f t="shared" si="7"/>
        <v>Negative</v>
      </c>
    </row>
    <row r="231" spans="1:8" x14ac:dyDescent="0.25">
      <c r="A231" s="2" t="s">
        <v>235</v>
      </c>
      <c r="B231" s="2" t="s">
        <v>501</v>
      </c>
      <c r="C231" s="2" t="s">
        <v>504</v>
      </c>
      <c r="D231" s="2">
        <v>5</v>
      </c>
      <c r="E231" s="2" t="s">
        <v>521</v>
      </c>
      <c r="F231" s="3">
        <v>45762.266031129853</v>
      </c>
      <c r="G231" s="2" t="str">
        <f t="shared" si="6"/>
        <v>Apr-2025</v>
      </c>
      <c r="H231" s="2" t="str">
        <f t="shared" si="7"/>
        <v>Positive</v>
      </c>
    </row>
    <row r="232" spans="1:8" x14ac:dyDescent="0.25">
      <c r="A232" s="2" t="s">
        <v>236</v>
      </c>
      <c r="B232" s="2" t="s">
        <v>499</v>
      </c>
      <c r="C232" s="2" t="s">
        <v>506</v>
      </c>
      <c r="D232" s="2">
        <v>2</v>
      </c>
      <c r="E232" s="2" t="s">
        <v>514</v>
      </c>
      <c r="F232" s="3">
        <v>45543.266031129882</v>
      </c>
      <c r="G232" s="2" t="str">
        <f t="shared" si="6"/>
        <v>Sep-2024</v>
      </c>
      <c r="H232" s="2" t="str">
        <f t="shared" si="7"/>
        <v>Negative</v>
      </c>
    </row>
    <row r="233" spans="1:8" x14ac:dyDescent="0.25">
      <c r="A233" s="2" t="s">
        <v>237</v>
      </c>
      <c r="B233" s="2" t="s">
        <v>501</v>
      </c>
      <c r="C233" s="2" t="s">
        <v>507</v>
      </c>
      <c r="D233" s="2">
        <v>2</v>
      </c>
      <c r="E233" s="2" t="s">
        <v>513</v>
      </c>
      <c r="F233" s="3">
        <v>45700.266031129919</v>
      </c>
      <c r="G233" s="2" t="str">
        <f t="shared" si="6"/>
        <v>Feb-2025</v>
      </c>
      <c r="H233" s="2" t="str">
        <f t="shared" si="7"/>
        <v>Negative</v>
      </c>
    </row>
    <row r="234" spans="1:8" x14ac:dyDescent="0.25">
      <c r="A234" s="2" t="s">
        <v>238</v>
      </c>
      <c r="B234" s="2" t="s">
        <v>493</v>
      </c>
      <c r="C234" s="2" t="s">
        <v>509</v>
      </c>
      <c r="D234" s="2">
        <v>1</v>
      </c>
      <c r="E234" s="2" t="s">
        <v>517</v>
      </c>
      <c r="F234" s="3">
        <v>45760.266031129962</v>
      </c>
      <c r="G234" s="2" t="str">
        <f t="shared" si="6"/>
        <v>Apr-2025</v>
      </c>
      <c r="H234" s="2" t="str">
        <f t="shared" si="7"/>
        <v>Negative</v>
      </c>
    </row>
    <row r="235" spans="1:8" x14ac:dyDescent="0.25">
      <c r="A235" s="2" t="s">
        <v>239</v>
      </c>
      <c r="B235" s="2" t="s">
        <v>499</v>
      </c>
      <c r="C235" s="2" t="s">
        <v>511</v>
      </c>
      <c r="D235" s="2">
        <v>1</v>
      </c>
      <c r="E235" s="2" t="s">
        <v>517</v>
      </c>
      <c r="F235" s="3">
        <v>45574.266031129999</v>
      </c>
      <c r="G235" s="2" t="str">
        <f t="shared" si="6"/>
        <v>Oct-2024</v>
      </c>
      <c r="H235" s="2" t="str">
        <f t="shared" si="7"/>
        <v>Negative</v>
      </c>
    </row>
    <row r="236" spans="1:8" x14ac:dyDescent="0.25">
      <c r="A236" s="2" t="s">
        <v>240</v>
      </c>
      <c r="B236" s="2" t="s">
        <v>495</v>
      </c>
      <c r="C236" s="2" t="s">
        <v>511</v>
      </c>
      <c r="D236" s="2">
        <v>4</v>
      </c>
      <c r="E236" s="2" t="s">
        <v>519</v>
      </c>
      <c r="F236" s="3">
        <v>45849.26603113005</v>
      </c>
      <c r="G236" s="2" t="str">
        <f t="shared" si="6"/>
        <v>Jul-2025</v>
      </c>
      <c r="H236" s="2" t="str">
        <f t="shared" si="7"/>
        <v>Positive</v>
      </c>
    </row>
    <row r="237" spans="1:8" x14ac:dyDescent="0.25">
      <c r="A237" s="2" t="s">
        <v>241</v>
      </c>
      <c r="B237" s="2" t="s">
        <v>495</v>
      </c>
      <c r="C237" s="2" t="s">
        <v>510</v>
      </c>
      <c r="D237" s="2">
        <v>1</v>
      </c>
      <c r="E237" s="2" t="s">
        <v>519</v>
      </c>
      <c r="F237" s="3">
        <v>45569.266031130079</v>
      </c>
      <c r="G237" s="2" t="str">
        <f t="shared" si="6"/>
        <v>Oct-2024</v>
      </c>
      <c r="H237" s="2" t="str">
        <f t="shared" si="7"/>
        <v>Negative</v>
      </c>
    </row>
    <row r="238" spans="1:8" x14ac:dyDescent="0.25">
      <c r="A238" s="2" t="s">
        <v>242</v>
      </c>
      <c r="B238" s="2" t="s">
        <v>493</v>
      </c>
      <c r="C238" s="2" t="s">
        <v>508</v>
      </c>
      <c r="D238" s="2">
        <v>1</v>
      </c>
      <c r="E238" s="2" t="s">
        <v>518</v>
      </c>
      <c r="F238" s="3">
        <v>45603.266031130122</v>
      </c>
      <c r="G238" s="2" t="str">
        <f t="shared" si="6"/>
        <v>Nov-2024</v>
      </c>
      <c r="H238" s="2" t="str">
        <f t="shared" si="7"/>
        <v>Negative</v>
      </c>
    </row>
    <row r="239" spans="1:8" x14ac:dyDescent="0.25">
      <c r="A239" s="2" t="s">
        <v>243</v>
      </c>
      <c r="B239" s="2" t="s">
        <v>496</v>
      </c>
      <c r="C239" s="2" t="s">
        <v>504</v>
      </c>
      <c r="D239" s="2">
        <v>1</v>
      </c>
      <c r="E239" s="2" t="s">
        <v>519</v>
      </c>
      <c r="F239" s="3">
        <v>45625.266031130152</v>
      </c>
      <c r="G239" s="2" t="str">
        <f t="shared" si="6"/>
        <v>Nov-2024</v>
      </c>
      <c r="H239" s="2" t="str">
        <f t="shared" si="7"/>
        <v>Negative</v>
      </c>
    </row>
    <row r="240" spans="1:8" x14ac:dyDescent="0.25">
      <c r="A240" s="2" t="s">
        <v>100</v>
      </c>
      <c r="B240" s="2" t="s">
        <v>500</v>
      </c>
      <c r="C240" s="2" t="s">
        <v>507</v>
      </c>
      <c r="D240" s="2">
        <v>1</v>
      </c>
      <c r="E240" s="2" t="s">
        <v>514</v>
      </c>
      <c r="F240" s="3">
        <v>45816.266031130202</v>
      </c>
      <c r="G240" s="2" t="str">
        <f t="shared" si="6"/>
        <v>Jun-2025</v>
      </c>
      <c r="H240" s="2" t="str">
        <f t="shared" si="7"/>
        <v>Negative</v>
      </c>
    </row>
    <row r="241" spans="1:8" x14ac:dyDescent="0.25">
      <c r="A241" s="2" t="s">
        <v>244</v>
      </c>
      <c r="B241" s="2" t="s">
        <v>501</v>
      </c>
      <c r="C241" s="2" t="s">
        <v>503</v>
      </c>
      <c r="D241" s="2">
        <v>1</v>
      </c>
      <c r="E241" s="2" t="s">
        <v>521</v>
      </c>
      <c r="F241" s="3">
        <v>45560.266031130232</v>
      </c>
      <c r="G241" s="2" t="str">
        <f t="shared" si="6"/>
        <v>Sep-2024</v>
      </c>
      <c r="H241" s="2" t="str">
        <f t="shared" si="7"/>
        <v>Negative</v>
      </c>
    </row>
    <row r="242" spans="1:8" x14ac:dyDescent="0.25">
      <c r="A242" s="2" t="s">
        <v>245</v>
      </c>
      <c r="B242" s="2" t="s">
        <v>502</v>
      </c>
      <c r="C242" s="2" t="s">
        <v>509</v>
      </c>
      <c r="D242" s="2">
        <v>3</v>
      </c>
      <c r="E242" s="2" t="s">
        <v>513</v>
      </c>
      <c r="F242" s="3">
        <v>45711.266031130268</v>
      </c>
      <c r="G242" s="2" t="str">
        <f t="shared" si="6"/>
        <v>Feb-2025</v>
      </c>
      <c r="H242" s="2" t="str">
        <f t="shared" si="7"/>
        <v>Neutral</v>
      </c>
    </row>
    <row r="243" spans="1:8" x14ac:dyDescent="0.25">
      <c r="A243" s="2" t="s">
        <v>246</v>
      </c>
      <c r="B243" s="2" t="s">
        <v>501</v>
      </c>
      <c r="C243" s="2" t="s">
        <v>512</v>
      </c>
      <c r="D243" s="2">
        <v>4</v>
      </c>
      <c r="E243" s="2" t="s">
        <v>522</v>
      </c>
      <c r="F243" s="3">
        <v>45810.266031130297</v>
      </c>
      <c r="G243" s="2" t="str">
        <f t="shared" si="6"/>
        <v>Jun-2025</v>
      </c>
      <c r="H243" s="2" t="str">
        <f t="shared" si="7"/>
        <v>Positive</v>
      </c>
    </row>
    <row r="244" spans="1:8" x14ac:dyDescent="0.25">
      <c r="A244" s="2" t="s">
        <v>247</v>
      </c>
      <c r="B244" s="2" t="s">
        <v>501</v>
      </c>
      <c r="C244" s="2" t="s">
        <v>507</v>
      </c>
      <c r="D244" s="2">
        <v>2</v>
      </c>
      <c r="E244" s="2" t="s">
        <v>518</v>
      </c>
      <c r="F244" s="3">
        <v>45702.266031130348</v>
      </c>
      <c r="G244" s="2" t="str">
        <f t="shared" si="6"/>
        <v>Feb-2025</v>
      </c>
      <c r="H244" s="2" t="str">
        <f t="shared" si="7"/>
        <v>Negative</v>
      </c>
    </row>
    <row r="245" spans="1:8" x14ac:dyDescent="0.25">
      <c r="A245" s="2" t="s">
        <v>248</v>
      </c>
      <c r="B245" s="2" t="s">
        <v>498</v>
      </c>
      <c r="C245" s="2" t="s">
        <v>507</v>
      </c>
      <c r="D245" s="2">
        <v>4</v>
      </c>
      <c r="E245" s="2" t="s">
        <v>518</v>
      </c>
      <c r="F245" s="3">
        <v>45802.266031130377</v>
      </c>
      <c r="G245" s="2" t="str">
        <f t="shared" si="6"/>
        <v>May-2025</v>
      </c>
      <c r="H245" s="2" t="str">
        <f t="shared" si="7"/>
        <v>Positive</v>
      </c>
    </row>
    <row r="246" spans="1:8" x14ac:dyDescent="0.25">
      <c r="A246" s="2" t="s">
        <v>249</v>
      </c>
      <c r="B246" s="2" t="s">
        <v>502</v>
      </c>
      <c r="C246" s="2" t="s">
        <v>509</v>
      </c>
      <c r="D246" s="2">
        <v>3</v>
      </c>
      <c r="E246" s="2" t="s">
        <v>521</v>
      </c>
      <c r="F246" s="3">
        <v>45840.266031130428</v>
      </c>
      <c r="G246" s="2" t="str">
        <f t="shared" si="6"/>
        <v>Jul-2025</v>
      </c>
      <c r="H246" s="2" t="str">
        <f t="shared" si="7"/>
        <v>Neutral</v>
      </c>
    </row>
    <row r="247" spans="1:8" x14ac:dyDescent="0.25">
      <c r="A247" s="2" t="s">
        <v>250</v>
      </c>
      <c r="B247" s="2" t="s">
        <v>502</v>
      </c>
      <c r="C247" s="2" t="s">
        <v>511</v>
      </c>
      <c r="D247" s="2">
        <v>2</v>
      </c>
      <c r="E247" s="2" t="s">
        <v>514</v>
      </c>
      <c r="F247" s="3">
        <v>45563.266031130457</v>
      </c>
      <c r="G247" s="2" t="str">
        <f t="shared" si="6"/>
        <v>Sep-2024</v>
      </c>
      <c r="H247" s="2" t="str">
        <f t="shared" si="7"/>
        <v>Negative</v>
      </c>
    </row>
    <row r="248" spans="1:8" x14ac:dyDescent="0.25">
      <c r="A248" s="2" t="s">
        <v>251</v>
      </c>
      <c r="B248" s="2" t="s">
        <v>493</v>
      </c>
      <c r="C248" s="2" t="s">
        <v>503</v>
      </c>
      <c r="D248" s="2">
        <v>2</v>
      </c>
      <c r="E248" s="2" t="s">
        <v>516</v>
      </c>
      <c r="F248" s="3">
        <v>45633.266031130501</v>
      </c>
      <c r="G248" s="2" t="str">
        <f t="shared" si="6"/>
        <v>Dec-2024</v>
      </c>
      <c r="H248" s="2" t="str">
        <f t="shared" si="7"/>
        <v>Negative</v>
      </c>
    </row>
    <row r="249" spans="1:8" x14ac:dyDescent="0.25">
      <c r="A249" s="2" t="s">
        <v>252</v>
      </c>
      <c r="B249" s="2" t="s">
        <v>501</v>
      </c>
      <c r="C249" s="2" t="s">
        <v>507</v>
      </c>
      <c r="D249" s="2">
        <v>2</v>
      </c>
      <c r="E249" s="2" t="s">
        <v>518</v>
      </c>
      <c r="F249" s="3">
        <v>45693.26603113053</v>
      </c>
      <c r="G249" s="2" t="str">
        <f t="shared" si="6"/>
        <v>Feb-2025</v>
      </c>
      <c r="H249" s="2" t="str">
        <f t="shared" si="7"/>
        <v>Negative</v>
      </c>
    </row>
    <row r="250" spans="1:8" x14ac:dyDescent="0.25">
      <c r="A250" s="2" t="s">
        <v>253</v>
      </c>
      <c r="B250" s="2" t="s">
        <v>502</v>
      </c>
      <c r="C250" s="2" t="s">
        <v>509</v>
      </c>
      <c r="D250" s="2">
        <v>2</v>
      </c>
      <c r="E250" s="2" t="s">
        <v>517</v>
      </c>
      <c r="F250" s="3">
        <v>45880.266031130581</v>
      </c>
      <c r="G250" s="2" t="str">
        <f t="shared" si="6"/>
        <v>Aug-2025</v>
      </c>
      <c r="H250" s="2" t="str">
        <f t="shared" si="7"/>
        <v>Negative</v>
      </c>
    </row>
    <row r="251" spans="1:8" x14ac:dyDescent="0.25">
      <c r="A251" s="2" t="s">
        <v>254</v>
      </c>
      <c r="B251" s="2" t="s">
        <v>496</v>
      </c>
      <c r="C251" s="2" t="s">
        <v>512</v>
      </c>
      <c r="D251" s="2">
        <v>3</v>
      </c>
      <c r="E251" s="2" t="s">
        <v>521</v>
      </c>
      <c r="F251" s="3">
        <v>45800.26603113061</v>
      </c>
      <c r="G251" s="2" t="str">
        <f t="shared" si="6"/>
        <v>May-2025</v>
      </c>
      <c r="H251" s="2" t="str">
        <f t="shared" si="7"/>
        <v>Neutral</v>
      </c>
    </row>
    <row r="252" spans="1:8" x14ac:dyDescent="0.25">
      <c r="A252" s="2" t="s">
        <v>255</v>
      </c>
      <c r="B252" s="2" t="s">
        <v>494</v>
      </c>
      <c r="C252" s="2" t="s">
        <v>510</v>
      </c>
      <c r="D252" s="2">
        <v>5</v>
      </c>
      <c r="E252" s="2" t="s">
        <v>514</v>
      </c>
      <c r="F252" s="3">
        <v>45857.266031130654</v>
      </c>
      <c r="G252" s="2" t="str">
        <f t="shared" si="6"/>
        <v>Jul-2025</v>
      </c>
      <c r="H252" s="2" t="str">
        <f t="shared" si="7"/>
        <v>Positive</v>
      </c>
    </row>
    <row r="253" spans="1:8" x14ac:dyDescent="0.25">
      <c r="A253" s="2" t="s">
        <v>256</v>
      </c>
      <c r="B253" s="2" t="s">
        <v>494</v>
      </c>
      <c r="C253" s="2" t="s">
        <v>507</v>
      </c>
      <c r="D253" s="2">
        <v>1</v>
      </c>
      <c r="E253" s="2" t="s">
        <v>517</v>
      </c>
      <c r="F253" s="3">
        <v>45739.266031130697</v>
      </c>
      <c r="G253" s="2" t="str">
        <f t="shared" si="6"/>
        <v>Mar-2025</v>
      </c>
      <c r="H253" s="2" t="str">
        <f t="shared" si="7"/>
        <v>Negative</v>
      </c>
    </row>
    <row r="254" spans="1:8" x14ac:dyDescent="0.25">
      <c r="A254" s="2" t="s">
        <v>257</v>
      </c>
      <c r="B254" s="2" t="s">
        <v>493</v>
      </c>
      <c r="C254" s="2" t="s">
        <v>509</v>
      </c>
      <c r="D254" s="2">
        <v>5</v>
      </c>
      <c r="E254" s="2" t="s">
        <v>520</v>
      </c>
      <c r="F254" s="3">
        <v>45716.266031130734</v>
      </c>
      <c r="G254" s="2" t="str">
        <f t="shared" si="6"/>
        <v>Feb-2025</v>
      </c>
      <c r="H254" s="2" t="str">
        <f t="shared" si="7"/>
        <v>Positive</v>
      </c>
    </row>
    <row r="255" spans="1:8" x14ac:dyDescent="0.25">
      <c r="A255" s="2" t="s">
        <v>258</v>
      </c>
      <c r="B255" s="2" t="s">
        <v>499</v>
      </c>
      <c r="C255" s="2" t="s">
        <v>508</v>
      </c>
      <c r="D255" s="2">
        <v>2</v>
      </c>
      <c r="E255" s="2" t="s">
        <v>519</v>
      </c>
      <c r="F255" s="3">
        <v>45617.266031130763</v>
      </c>
      <c r="G255" s="2" t="str">
        <f t="shared" si="6"/>
        <v>Nov-2024</v>
      </c>
      <c r="H255" s="2" t="str">
        <f t="shared" si="7"/>
        <v>Negative</v>
      </c>
    </row>
    <row r="256" spans="1:8" x14ac:dyDescent="0.25">
      <c r="A256" s="2" t="s">
        <v>259</v>
      </c>
      <c r="B256" s="2" t="s">
        <v>497</v>
      </c>
      <c r="C256" s="2" t="s">
        <v>510</v>
      </c>
      <c r="D256" s="2">
        <v>2</v>
      </c>
      <c r="E256" s="2" t="s">
        <v>518</v>
      </c>
      <c r="F256" s="3">
        <v>45592.266031130799</v>
      </c>
      <c r="G256" s="2" t="str">
        <f t="shared" si="6"/>
        <v>Oct-2024</v>
      </c>
      <c r="H256" s="2" t="str">
        <f t="shared" si="7"/>
        <v>Negative</v>
      </c>
    </row>
    <row r="257" spans="1:8" x14ac:dyDescent="0.25">
      <c r="A257" s="2" t="s">
        <v>260</v>
      </c>
      <c r="B257" s="2" t="s">
        <v>496</v>
      </c>
      <c r="C257" s="2" t="s">
        <v>508</v>
      </c>
      <c r="D257" s="2">
        <v>5</v>
      </c>
      <c r="E257" s="2" t="s">
        <v>518</v>
      </c>
      <c r="F257" s="3">
        <v>45828.266031130843</v>
      </c>
      <c r="G257" s="2" t="str">
        <f t="shared" si="6"/>
        <v>Jun-2025</v>
      </c>
      <c r="H257" s="2" t="str">
        <f t="shared" si="7"/>
        <v>Positive</v>
      </c>
    </row>
    <row r="258" spans="1:8" x14ac:dyDescent="0.25">
      <c r="A258" s="2" t="s">
        <v>261</v>
      </c>
      <c r="B258" s="2" t="s">
        <v>499</v>
      </c>
      <c r="C258" s="2" t="s">
        <v>505</v>
      </c>
      <c r="D258" s="2">
        <v>4</v>
      </c>
      <c r="E258" s="2" t="s">
        <v>521</v>
      </c>
      <c r="F258" s="3">
        <v>45593.266031130886</v>
      </c>
      <c r="G258" s="2" t="str">
        <f t="shared" ref="G258:G321" si="8">TEXT(F258,"mmm-yyyy")</f>
        <v>Oct-2024</v>
      </c>
      <c r="H258" s="2" t="str">
        <f t="shared" ref="H258:H321" si="9">IF(D258&gt;=4,"Positive",IF(D258=3,"Neutral","Negative"))</f>
        <v>Positive</v>
      </c>
    </row>
    <row r="259" spans="1:8" x14ac:dyDescent="0.25">
      <c r="A259" s="2" t="s">
        <v>262</v>
      </c>
      <c r="B259" s="2" t="s">
        <v>499</v>
      </c>
      <c r="C259" s="2" t="s">
        <v>509</v>
      </c>
      <c r="D259" s="2">
        <v>1</v>
      </c>
      <c r="E259" s="2" t="s">
        <v>515</v>
      </c>
      <c r="F259" s="3">
        <v>45542.266031130923</v>
      </c>
      <c r="G259" s="2" t="str">
        <f t="shared" si="8"/>
        <v>Sep-2024</v>
      </c>
      <c r="H259" s="2" t="str">
        <f t="shared" si="9"/>
        <v>Negative</v>
      </c>
    </row>
    <row r="260" spans="1:8" x14ac:dyDescent="0.25">
      <c r="A260" s="2" t="s">
        <v>263</v>
      </c>
      <c r="B260" s="2" t="s">
        <v>495</v>
      </c>
      <c r="C260" s="2" t="s">
        <v>511</v>
      </c>
      <c r="D260" s="2">
        <v>1</v>
      </c>
      <c r="E260" s="2" t="s">
        <v>513</v>
      </c>
      <c r="F260" s="3">
        <v>45719.266031130959</v>
      </c>
      <c r="G260" s="2" t="str">
        <f t="shared" si="8"/>
        <v>Mar-2025</v>
      </c>
      <c r="H260" s="2" t="str">
        <f t="shared" si="9"/>
        <v>Negative</v>
      </c>
    </row>
    <row r="261" spans="1:8" x14ac:dyDescent="0.25">
      <c r="A261" s="2" t="s">
        <v>264</v>
      </c>
      <c r="B261" s="2" t="s">
        <v>493</v>
      </c>
      <c r="C261" s="2" t="s">
        <v>509</v>
      </c>
      <c r="D261" s="2">
        <v>2</v>
      </c>
      <c r="E261" s="2" t="s">
        <v>516</v>
      </c>
      <c r="F261" s="3">
        <v>45552.26603113101</v>
      </c>
      <c r="G261" s="2" t="str">
        <f t="shared" si="8"/>
        <v>Sep-2024</v>
      </c>
      <c r="H261" s="2" t="str">
        <f t="shared" si="9"/>
        <v>Negative</v>
      </c>
    </row>
    <row r="262" spans="1:8" x14ac:dyDescent="0.25">
      <c r="A262" s="2" t="s">
        <v>265</v>
      </c>
      <c r="B262" s="2" t="s">
        <v>498</v>
      </c>
      <c r="C262" s="2" t="s">
        <v>504</v>
      </c>
      <c r="D262" s="2">
        <v>4</v>
      </c>
      <c r="E262" s="2" t="s">
        <v>518</v>
      </c>
      <c r="F262" s="3">
        <v>45692.266031131039</v>
      </c>
      <c r="G262" s="2" t="str">
        <f t="shared" si="8"/>
        <v>Feb-2025</v>
      </c>
      <c r="H262" s="2" t="str">
        <f t="shared" si="9"/>
        <v>Positive</v>
      </c>
    </row>
    <row r="263" spans="1:8" x14ac:dyDescent="0.25">
      <c r="A263" s="2" t="s">
        <v>266</v>
      </c>
      <c r="B263" s="2" t="s">
        <v>501</v>
      </c>
      <c r="C263" s="2" t="s">
        <v>510</v>
      </c>
      <c r="D263" s="2">
        <v>2</v>
      </c>
      <c r="E263" s="2" t="s">
        <v>520</v>
      </c>
      <c r="F263" s="3">
        <v>45560.266031131083</v>
      </c>
      <c r="G263" s="2" t="str">
        <f t="shared" si="8"/>
        <v>Sep-2024</v>
      </c>
      <c r="H263" s="2" t="str">
        <f t="shared" si="9"/>
        <v>Negative</v>
      </c>
    </row>
    <row r="264" spans="1:8" x14ac:dyDescent="0.25">
      <c r="A264" s="2" t="s">
        <v>267</v>
      </c>
      <c r="B264" s="2" t="s">
        <v>494</v>
      </c>
      <c r="C264" s="2" t="s">
        <v>512</v>
      </c>
      <c r="D264" s="2">
        <v>4</v>
      </c>
      <c r="E264" s="2" t="s">
        <v>517</v>
      </c>
      <c r="F264" s="3">
        <v>45882.266031131112</v>
      </c>
      <c r="G264" s="2" t="str">
        <f t="shared" si="8"/>
        <v>Aug-2025</v>
      </c>
      <c r="H264" s="2" t="str">
        <f t="shared" si="9"/>
        <v>Positive</v>
      </c>
    </row>
    <row r="265" spans="1:8" x14ac:dyDescent="0.25">
      <c r="A265" s="2" t="s">
        <v>268</v>
      </c>
      <c r="B265" s="2" t="s">
        <v>502</v>
      </c>
      <c r="C265" s="2" t="s">
        <v>507</v>
      </c>
      <c r="D265" s="2">
        <v>2</v>
      </c>
      <c r="E265" s="2" t="s">
        <v>516</v>
      </c>
      <c r="F265" s="3">
        <v>45746.266031131148</v>
      </c>
      <c r="G265" s="2" t="str">
        <f t="shared" si="8"/>
        <v>Mar-2025</v>
      </c>
      <c r="H265" s="2" t="str">
        <f t="shared" si="9"/>
        <v>Negative</v>
      </c>
    </row>
    <row r="266" spans="1:8" x14ac:dyDescent="0.25">
      <c r="A266" s="2" t="s">
        <v>269</v>
      </c>
      <c r="B266" s="2" t="s">
        <v>493</v>
      </c>
      <c r="C266" s="2" t="s">
        <v>511</v>
      </c>
      <c r="D266" s="2">
        <v>4</v>
      </c>
      <c r="E266" s="2" t="s">
        <v>517</v>
      </c>
      <c r="F266" s="3">
        <v>45537.266031131192</v>
      </c>
      <c r="G266" s="2" t="str">
        <f t="shared" si="8"/>
        <v>Sep-2024</v>
      </c>
      <c r="H266" s="2" t="str">
        <f t="shared" si="9"/>
        <v>Positive</v>
      </c>
    </row>
    <row r="267" spans="1:8" x14ac:dyDescent="0.25">
      <c r="A267" s="2" t="s">
        <v>270</v>
      </c>
      <c r="B267" s="2" t="s">
        <v>495</v>
      </c>
      <c r="C267" s="2" t="s">
        <v>512</v>
      </c>
      <c r="D267" s="2">
        <v>1</v>
      </c>
      <c r="E267" s="2" t="s">
        <v>513</v>
      </c>
      <c r="F267" s="3">
        <v>45767.266031131228</v>
      </c>
      <c r="G267" s="2" t="str">
        <f t="shared" si="8"/>
        <v>Apr-2025</v>
      </c>
      <c r="H267" s="2" t="str">
        <f t="shared" si="9"/>
        <v>Negative</v>
      </c>
    </row>
    <row r="268" spans="1:8" x14ac:dyDescent="0.25">
      <c r="A268" s="2" t="s">
        <v>271</v>
      </c>
      <c r="B268" s="2" t="s">
        <v>498</v>
      </c>
      <c r="C268" s="2" t="s">
        <v>509</v>
      </c>
      <c r="D268" s="2">
        <v>4</v>
      </c>
      <c r="E268" s="2" t="s">
        <v>519</v>
      </c>
      <c r="F268" s="3">
        <v>45591.266031131257</v>
      </c>
      <c r="G268" s="2" t="str">
        <f t="shared" si="8"/>
        <v>Oct-2024</v>
      </c>
      <c r="H268" s="2" t="str">
        <f t="shared" si="9"/>
        <v>Positive</v>
      </c>
    </row>
    <row r="269" spans="1:8" x14ac:dyDescent="0.25">
      <c r="A269" s="2" t="s">
        <v>272</v>
      </c>
      <c r="B269" s="2" t="s">
        <v>501</v>
      </c>
      <c r="C269" s="2" t="s">
        <v>511</v>
      </c>
      <c r="D269" s="2">
        <v>5</v>
      </c>
      <c r="E269" s="2" t="s">
        <v>520</v>
      </c>
      <c r="F269" s="3">
        <v>45850.266031131287</v>
      </c>
      <c r="G269" s="2" t="str">
        <f t="shared" si="8"/>
        <v>Jul-2025</v>
      </c>
      <c r="H269" s="2" t="str">
        <f t="shared" si="9"/>
        <v>Positive</v>
      </c>
    </row>
    <row r="270" spans="1:8" x14ac:dyDescent="0.25">
      <c r="A270" s="2" t="s">
        <v>273</v>
      </c>
      <c r="B270" s="2" t="s">
        <v>496</v>
      </c>
      <c r="C270" s="2" t="s">
        <v>504</v>
      </c>
      <c r="D270" s="2">
        <v>3</v>
      </c>
      <c r="E270" s="2" t="s">
        <v>517</v>
      </c>
      <c r="F270" s="3">
        <v>45643.26603113133</v>
      </c>
      <c r="G270" s="2" t="str">
        <f t="shared" si="8"/>
        <v>Dec-2024</v>
      </c>
      <c r="H270" s="2" t="str">
        <f t="shared" si="9"/>
        <v>Neutral</v>
      </c>
    </row>
    <row r="271" spans="1:8" x14ac:dyDescent="0.25">
      <c r="A271" s="2" t="s">
        <v>274</v>
      </c>
      <c r="B271" s="2" t="s">
        <v>496</v>
      </c>
      <c r="C271" s="2" t="s">
        <v>512</v>
      </c>
      <c r="D271" s="2">
        <v>3</v>
      </c>
      <c r="E271" s="2" t="s">
        <v>518</v>
      </c>
      <c r="F271" s="3">
        <v>45608.266031131367</v>
      </c>
      <c r="G271" s="2" t="str">
        <f t="shared" si="8"/>
        <v>Nov-2024</v>
      </c>
      <c r="H271" s="2" t="str">
        <f t="shared" si="9"/>
        <v>Neutral</v>
      </c>
    </row>
    <row r="272" spans="1:8" x14ac:dyDescent="0.25">
      <c r="A272" s="2" t="s">
        <v>275</v>
      </c>
      <c r="B272" s="2" t="s">
        <v>501</v>
      </c>
      <c r="C272" s="2" t="s">
        <v>508</v>
      </c>
      <c r="D272" s="2">
        <v>2</v>
      </c>
      <c r="E272" s="2" t="s">
        <v>522</v>
      </c>
      <c r="F272" s="3">
        <v>45656.266031131418</v>
      </c>
      <c r="G272" s="2" t="str">
        <f t="shared" si="8"/>
        <v>Dec-2024</v>
      </c>
      <c r="H272" s="2" t="str">
        <f t="shared" si="9"/>
        <v>Negative</v>
      </c>
    </row>
    <row r="273" spans="1:8" x14ac:dyDescent="0.25">
      <c r="A273" s="2" t="s">
        <v>276</v>
      </c>
      <c r="B273" s="2" t="s">
        <v>498</v>
      </c>
      <c r="C273" s="2" t="s">
        <v>511</v>
      </c>
      <c r="D273" s="2">
        <v>4</v>
      </c>
      <c r="E273" s="2" t="s">
        <v>521</v>
      </c>
      <c r="F273" s="3">
        <v>45842.266031131461</v>
      </c>
      <c r="G273" s="2" t="str">
        <f t="shared" si="8"/>
        <v>Jul-2025</v>
      </c>
      <c r="H273" s="2" t="str">
        <f t="shared" si="9"/>
        <v>Positive</v>
      </c>
    </row>
    <row r="274" spans="1:8" x14ac:dyDescent="0.25">
      <c r="A274" s="2" t="s">
        <v>277</v>
      </c>
      <c r="B274" s="2" t="s">
        <v>496</v>
      </c>
      <c r="C274" s="2" t="s">
        <v>506</v>
      </c>
      <c r="D274" s="2">
        <v>4</v>
      </c>
      <c r="E274" s="2" t="s">
        <v>520</v>
      </c>
      <c r="F274" s="3">
        <v>45679.26603113149</v>
      </c>
      <c r="G274" s="2" t="str">
        <f t="shared" si="8"/>
        <v>Jan-2025</v>
      </c>
      <c r="H274" s="2" t="str">
        <f t="shared" si="9"/>
        <v>Positive</v>
      </c>
    </row>
    <row r="275" spans="1:8" x14ac:dyDescent="0.25">
      <c r="A275" s="2" t="s">
        <v>278</v>
      </c>
      <c r="B275" s="2" t="s">
        <v>499</v>
      </c>
      <c r="C275" s="2" t="s">
        <v>507</v>
      </c>
      <c r="D275" s="2">
        <v>5</v>
      </c>
      <c r="E275" s="2" t="s">
        <v>515</v>
      </c>
      <c r="F275" s="3">
        <v>45628.266031131527</v>
      </c>
      <c r="G275" s="2" t="str">
        <f t="shared" si="8"/>
        <v>Dec-2024</v>
      </c>
      <c r="H275" s="2" t="str">
        <f t="shared" si="9"/>
        <v>Positive</v>
      </c>
    </row>
    <row r="276" spans="1:8" x14ac:dyDescent="0.25">
      <c r="A276" s="2" t="s">
        <v>279</v>
      </c>
      <c r="B276" s="2" t="s">
        <v>494</v>
      </c>
      <c r="C276" s="2" t="s">
        <v>507</v>
      </c>
      <c r="D276" s="2">
        <v>3</v>
      </c>
      <c r="E276" s="2" t="s">
        <v>518</v>
      </c>
      <c r="F276" s="3">
        <v>45822.266031131563</v>
      </c>
      <c r="G276" s="2" t="str">
        <f t="shared" si="8"/>
        <v>Jun-2025</v>
      </c>
      <c r="H276" s="2" t="str">
        <f t="shared" si="9"/>
        <v>Neutral</v>
      </c>
    </row>
    <row r="277" spans="1:8" x14ac:dyDescent="0.25">
      <c r="A277" s="2" t="s">
        <v>280</v>
      </c>
      <c r="B277" s="2" t="s">
        <v>497</v>
      </c>
      <c r="C277" s="2" t="s">
        <v>508</v>
      </c>
      <c r="D277" s="2">
        <v>1</v>
      </c>
      <c r="E277" s="2" t="s">
        <v>513</v>
      </c>
      <c r="F277" s="3">
        <v>45821.266031131599</v>
      </c>
      <c r="G277" s="2" t="str">
        <f t="shared" si="8"/>
        <v>Jun-2025</v>
      </c>
      <c r="H277" s="2" t="str">
        <f t="shared" si="9"/>
        <v>Negative</v>
      </c>
    </row>
    <row r="278" spans="1:8" x14ac:dyDescent="0.25">
      <c r="A278" s="2" t="s">
        <v>281</v>
      </c>
      <c r="B278" s="2" t="s">
        <v>498</v>
      </c>
      <c r="C278" s="2" t="s">
        <v>512</v>
      </c>
      <c r="D278" s="2">
        <v>3</v>
      </c>
      <c r="E278" s="2" t="s">
        <v>517</v>
      </c>
      <c r="F278" s="3">
        <v>45545.266031131629</v>
      </c>
      <c r="G278" s="2" t="str">
        <f t="shared" si="8"/>
        <v>Sep-2024</v>
      </c>
      <c r="H278" s="2" t="str">
        <f t="shared" si="9"/>
        <v>Neutral</v>
      </c>
    </row>
    <row r="279" spans="1:8" x14ac:dyDescent="0.25">
      <c r="A279" s="2" t="s">
        <v>282</v>
      </c>
      <c r="B279" s="2" t="s">
        <v>493</v>
      </c>
      <c r="C279" s="2" t="s">
        <v>505</v>
      </c>
      <c r="D279" s="2">
        <v>5</v>
      </c>
      <c r="E279" s="2" t="s">
        <v>517</v>
      </c>
      <c r="F279" s="3">
        <v>45741.266031131679</v>
      </c>
      <c r="G279" s="2" t="str">
        <f t="shared" si="8"/>
        <v>Mar-2025</v>
      </c>
      <c r="H279" s="2" t="str">
        <f t="shared" si="9"/>
        <v>Positive</v>
      </c>
    </row>
    <row r="280" spans="1:8" x14ac:dyDescent="0.25">
      <c r="A280" s="2" t="s">
        <v>283</v>
      </c>
      <c r="B280" s="2" t="s">
        <v>498</v>
      </c>
      <c r="C280" s="2" t="s">
        <v>505</v>
      </c>
      <c r="D280" s="2">
        <v>5</v>
      </c>
      <c r="E280" s="2" t="s">
        <v>518</v>
      </c>
      <c r="F280" s="3">
        <v>45749.266031131723</v>
      </c>
      <c r="G280" s="2" t="str">
        <f t="shared" si="8"/>
        <v>Apr-2025</v>
      </c>
      <c r="H280" s="2" t="str">
        <f t="shared" si="9"/>
        <v>Positive</v>
      </c>
    </row>
    <row r="281" spans="1:8" x14ac:dyDescent="0.25">
      <c r="A281" s="2" t="s">
        <v>284</v>
      </c>
      <c r="B281" s="2" t="s">
        <v>498</v>
      </c>
      <c r="C281" s="2" t="s">
        <v>508</v>
      </c>
      <c r="D281" s="2">
        <v>3</v>
      </c>
      <c r="E281" s="2" t="s">
        <v>517</v>
      </c>
      <c r="F281" s="3">
        <v>45691.266031131738</v>
      </c>
      <c r="G281" s="2" t="str">
        <f t="shared" si="8"/>
        <v>Feb-2025</v>
      </c>
      <c r="H281" s="2" t="str">
        <f t="shared" si="9"/>
        <v>Neutral</v>
      </c>
    </row>
    <row r="282" spans="1:8" x14ac:dyDescent="0.25">
      <c r="A282" s="2" t="s">
        <v>285</v>
      </c>
      <c r="B282" s="2" t="s">
        <v>497</v>
      </c>
      <c r="C282" s="2" t="s">
        <v>510</v>
      </c>
      <c r="D282" s="2">
        <v>4</v>
      </c>
      <c r="E282" s="2" t="s">
        <v>518</v>
      </c>
      <c r="F282" s="3">
        <v>45609.266031131803</v>
      </c>
      <c r="G282" s="2" t="str">
        <f t="shared" si="8"/>
        <v>Nov-2024</v>
      </c>
      <c r="H282" s="2" t="str">
        <f t="shared" si="9"/>
        <v>Positive</v>
      </c>
    </row>
    <row r="283" spans="1:8" x14ac:dyDescent="0.25">
      <c r="A283" s="2" t="s">
        <v>286</v>
      </c>
      <c r="B283" s="2" t="s">
        <v>499</v>
      </c>
      <c r="C283" s="2" t="s">
        <v>512</v>
      </c>
      <c r="D283" s="2">
        <v>3</v>
      </c>
      <c r="E283" s="2" t="s">
        <v>515</v>
      </c>
      <c r="F283" s="3">
        <v>45582.26603113184</v>
      </c>
      <c r="G283" s="2" t="str">
        <f t="shared" si="8"/>
        <v>Oct-2024</v>
      </c>
      <c r="H283" s="2" t="str">
        <f t="shared" si="9"/>
        <v>Neutral</v>
      </c>
    </row>
    <row r="284" spans="1:8" x14ac:dyDescent="0.25">
      <c r="A284" s="2" t="s">
        <v>236</v>
      </c>
      <c r="B284" s="2" t="s">
        <v>501</v>
      </c>
      <c r="C284" s="2" t="s">
        <v>507</v>
      </c>
      <c r="D284" s="2">
        <v>3</v>
      </c>
      <c r="E284" s="2" t="s">
        <v>515</v>
      </c>
      <c r="F284" s="3">
        <v>45605.266031131883</v>
      </c>
      <c r="G284" s="2" t="str">
        <f t="shared" si="8"/>
        <v>Nov-2024</v>
      </c>
      <c r="H284" s="2" t="str">
        <f t="shared" si="9"/>
        <v>Neutral</v>
      </c>
    </row>
    <row r="285" spans="1:8" x14ac:dyDescent="0.25">
      <c r="A285" s="2" t="s">
        <v>287</v>
      </c>
      <c r="B285" s="2" t="s">
        <v>501</v>
      </c>
      <c r="C285" s="2" t="s">
        <v>508</v>
      </c>
      <c r="D285" s="2">
        <v>4</v>
      </c>
      <c r="E285" s="2" t="s">
        <v>518</v>
      </c>
      <c r="F285" s="3">
        <v>45672.26603113192</v>
      </c>
      <c r="G285" s="2" t="str">
        <f t="shared" si="8"/>
        <v>Jan-2025</v>
      </c>
      <c r="H285" s="2" t="str">
        <f t="shared" si="9"/>
        <v>Positive</v>
      </c>
    </row>
    <row r="286" spans="1:8" x14ac:dyDescent="0.25">
      <c r="A286" s="2" t="s">
        <v>288</v>
      </c>
      <c r="B286" s="2" t="s">
        <v>493</v>
      </c>
      <c r="C286" s="2" t="s">
        <v>507</v>
      </c>
      <c r="D286" s="2">
        <v>2</v>
      </c>
      <c r="E286" s="2" t="s">
        <v>519</v>
      </c>
      <c r="F286" s="3">
        <v>45833.266031131963</v>
      </c>
      <c r="G286" s="2" t="str">
        <f t="shared" si="8"/>
        <v>Jun-2025</v>
      </c>
      <c r="H286" s="2" t="str">
        <f t="shared" si="9"/>
        <v>Negative</v>
      </c>
    </row>
    <row r="287" spans="1:8" x14ac:dyDescent="0.25">
      <c r="A287" s="2" t="s">
        <v>289</v>
      </c>
      <c r="B287" s="2" t="s">
        <v>493</v>
      </c>
      <c r="C287" s="2" t="s">
        <v>509</v>
      </c>
      <c r="D287" s="2">
        <v>3</v>
      </c>
      <c r="E287" s="2" t="s">
        <v>517</v>
      </c>
      <c r="F287" s="3">
        <v>45702.266031132</v>
      </c>
      <c r="G287" s="2" t="str">
        <f t="shared" si="8"/>
        <v>Feb-2025</v>
      </c>
      <c r="H287" s="2" t="str">
        <f t="shared" si="9"/>
        <v>Neutral</v>
      </c>
    </row>
    <row r="288" spans="1:8" x14ac:dyDescent="0.25">
      <c r="A288" s="2" t="s">
        <v>290</v>
      </c>
      <c r="B288" s="2" t="s">
        <v>500</v>
      </c>
      <c r="C288" s="2" t="s">
        <v>503</v>
      </c>
      <c r="D288" s="2">
        <v>4</v>
      </c>
      <c r="E288" s="2" t="s">
        <v>517</v>
      </c>
      <c r="F288" s="3">
        <v>45804.266031132043</v>
      </c>
      <c r="G288" s="2" t="str">
        <f t="shared" si="8"/>
        <v>May-2025</v>
      </c>
      <c r="H288" s="2" t="str">
        <f t="shared" si="9"/>
        <v>Positive</v>
      </c>
    </row>
    <row r="289" spans="1:8" x14ac:dyDescent="0.25">
      <c r="A289" s="2" t="s">
        <v>291</v>
      </c>
      <c r="B289" s="2" t="s">
        <v>496</v>
      </c>
      <c r="C289" s="2" t="s">
        <v>510</v>
      </c>
      <c r="D289" s="2">
        <v>1</v>
      </c>
      <c r="E289" s="2" t="s">
        <v>519</v>
      </c>
      <c r="F289" s="3">
        <v>45531.266031132087</v>
      </c>
      <c r="G289" s="2" t="str">
        <f t="shared" si="8"/>
        <v>Aug-2024</v>
      </c>
      <c r="H289" s="2" t="str">
        <f t="shared" si="9"/>
        <v>Negative</v>
      </c>
    </row>
    <row r="290" spans="1:8" x14ac:dyDescent="0.25">
      <c r="A290" s="2" t="s">
        <v>292</v>
      </c>
      <c r="B290" s="2" t="s">
        <v>501</v>
      </c>
      <c r="C290" s="2" t="s">
        <v>511</v>
      </c>
      <c r="D290" s="2">
        <v>5</v>
      </c>
      <c r="E290" s="2" t="s">
        <v>518</v>
      </c>
      <c r="F290" s="3">
        <v>45671.266031132123</v>
      </c>
      <c r="G290" s="2" t="str">
        <f t="shared" si="8"/>
        <v>Jan-2025</v>
      </c>
      <c r="H290" s="2" t="str">
        <f t="shared" si="9"/>
        <v>Positive</v>
      </c>
    </row>
    <row r="291" spans="1:8" x14ac:dyDescent="0.25">
      <c r="A291" s="2" t="s">
        <v>293</v>
      </c>
      <c r="B291" s="2" t="s">
        <v>501</v>
      </c>
      <c r="C291" s="2" t="s">
        <v>507</v>
      </c>
      <c r="D291" s="2">
        <v>3</v>
      </c>
      <c r="E291" s="2" t="s">
        <v>514</v>
      </c>
      <c r="F291" s="3">
        <v>45797.266031132152</v>
      </c>
      <c r="G291" s="2" t="str">
        <f t="shared" si="8"/>
        <v>May-2025</v>
      </c>
      <c r="H291" s="2" t="str">
        <f t="shared" si="9"/>
        <v>Neutral</v>
      </c>
    </row>
    <row r="292" spans="1:8" x14ac:dyDescent="0.25">
      <c r="A292" s="2" t="s">
        <v>294</v>
      </c>
      <c r="B292" s="2" t="s">
        <v>497</v>
      </c>
      <c r="C292" s="2" t="s">
        <v>510</v>
      </c>
      <c r="D292" s="2">
        <v>1</v>
      </c>
      <c r="E292" s="2" t="s">
        <v>515</v>
      </c>
      <c r="F292" s="3">
        <v>45689.266031132189</v>
      </c>
      <c r="G292" s="2" t="str">
        <f t="shared" si="8"/>
        <v>Feb-2025</v>
      </c>
      <c r="H292" s="2" t="str">
        <f t="shared" si="9"/>
        <v>Negative</v>
      </c>
    </row>
    <row r="293" spans="1:8" x14ac:dyDescent="0.25">
      <c r="A293" s="2" t="s">
        <v>295</v>
      </c>
      <c r="B293" s="2" t="s">
        <v>502</v>
      </c>
      <c r="C293" s="2" t="s">
        <v>506</v>
      </c>
      <c r="D293" s="2">
        <v>2</v>
      </c>
      <c r="E293" s="2" t="s">
        <v>519</v>
      </c>
      <c r="F293" s="3">
        <v>45714.266031132232</v>
      </c>
      <c r="G293" s="2" t="str">
        <f t="shared" si="8"/>
        <v>Feb-2025</v>
      </c>
      <c r="H293" s="2" t="str">
        <f t="shared" si="9"/>
        <v>Negative</v>
      </c>
    </row>
    <row r="294" spans="1:8" x14ac:dyDescent="0.25">
      <c r="A294" s="2" t="s">
        <v>296</v>
      </c>
      <c r="B294" s="2" t="s">
        <v>495</v>
      </c>
      <c r="C294" s="2" t="s">
        <v>511</v>
      </c>
      <c r="D294" s="2">
        <v>4</v>
      </c>
      <c r="E294" s="2" t="s">
        <v>518</v>
      </c>
      <c r="F294" s="3">
        <v>45532.266031132269</v>
      </c>
      <c r="G294" s="2" t="str">
        <f t="shared" si="8"/>
        <v>Aug-2024</v>
      </c>
      <c r="H294" s="2" t="str">
        <f t="shared" si="9"/>
        <v>Positive</v>
      </c>
    </row>
    <row r="295" spans="1:8" x14ac:dyDescent="0.25">
      <c r="A295" s="2" t="s">
        <v>297</v>
      </c>
      <c r="B295" s="2" t="s">
        <v>499</v>
      </c>
      <c r="C295" s="2" t="s">
        <v>503</v>
      </c>
      <c r="D295" s="2">
        <v>1</v>
      </c>
      <c r="E295" s="2" t="s">
        <v>517</v>
      </c>
      <c r="F295" s="3">
        <v>45526.266031132312</v>
      </c>
      <c r="G295" s="2" t="str">
        <f t="shared" si="8"/>
        <v>Aug-2024</v>
      </c>
      <c r="H295" s="2" t="str">
        <f t="shared" si="9"/>
        <v>Negative</v>
      </c>
    </row>
    <row r="296" spans="1:8" x14ac:dyDescent="0.25">
      <c r="A296" s="2" t="s">
        <v>298</v>
      </c>
      <c r="B296" s="2" t="s">
        <v>498</v>
      </c>
      <c r="C296" s="2" t="s">
        <v>506</v>
      </c>
      <c r="D296" s="2">
        <v>1</v>
      </c>
      <c r="E296" s="2" t="s">
        <v>521</v>
      </c>
      <c r="F296" s="3">
        <v>45607.266031132342</v>
      </c>
      <c r="G296" s="2" t="str">
        <f t="shared" si="8"/>
        <v>Nov-2024</v>
      </c>
      <c r="H296" s="2" t="str">
        <f t="shared" si="9"/>
        <v>Negative</v>
      </c>
    </row>
    <row r="297" spans="1:8" x14ac:dyDescent="0.25">
      <c r="A297" s="2" t="s">
        <v>299</v>
      </c>
      <c r="B297" s="2" t="s">
        <v>500</v>
      </c>
      <c r="C297" s="2" t="s">
        <v>510</v>
      </c>
      <c r="D297" s="2">
        <v>1</v>
      </c>
      <c r="E297" s="2" t="s">
        <v>522</v>
      </c>
      <c r="F297" s="3">
        <v>45761.266031132371</v>
      </c>
      <c r="G297" s="2" t="str">
        <f t="shared" si="8"/>
        <v>Apr-2025</v>
      </c>
      <c r="H297" s="2" t="str">
        <f t="shared" si="9"/>
        <v>Negative</v>
      </c>
    </row>
    <row r="298" spans="1:8" x14ac:dyDescent="0.25">
      <c r="A298" s="2" t="s">
        <v>300</v>
      </c>
      <c r="B298" s="2" t="s">
        <v>499</v>
      </c>
      <c r="C298" s="2" t="s">
        <v>507</v>
      </c>
      <c r="D298" s="2">
        <v>4</v>
      </c>
      <c r="E298" s="2" t="s">
        <v>513</v>
      </c>
      <c r="F298" s="3">
        <v>45535.266031132422</v>
      </c>
      <c r="G298" s="2" t="str">
        <f t="shared" si="8"/>
        <v>Aug-2024</v>
      </c>
      <c r="H298" s="2" t="str">
        <f t="shared" si="9"/>
        <v>Positive</v>
      </c>
    </row>
    <row r="299" spans="1:8" x14ac:dyDescent="0.25">
      <c r="A299" s="2" t="s">
        <v>301</v>
      </c>
      <c r="B299" s="2" t="s">
        <v>499</v>
      </c>
      <c r="C299" s="2" t="s">
        <v>506</v>
      </c>
      <c r="D299" s="2">
        <v>5</v>
      </c>
      <c r="E299" s="2" t="s">
        <v>517</v>
      </c>
      <c r="F299" s="3">
        <v>45540.266031132451</v>
      </c>
      <c r="G299" s="2" t="str">
        <f t="shared" si="8"/>
        <v>Sep-2024</v>
      </c>
      <c r="H299" s="2" t="str">
        <f t="shared" si="9"/>
        <v>Positive</v>
      </c>
    </row>
    <row r="300" spans="1:8" x14ac:dyDescent="0.25">
      <c r="A300" s="2" t="s">
        <v>302</v>
      </c>
      <c r="B300" s="2" t="s">
        <v>502</v>
      </c>
      <c r="C300" s="2" t="s">
        <v>506</v>
      </c>
      <c r="D300" s="2">
        <v>1</v>
      </c>
      <c r="E300" s="2" t="s">
        <v>522</v>
      </c>
      <c r="F300" s="3">
        <v>45864.266031132487</v>
      </c>
      <c r="G300" s="2" t="str">
        <f t="shared" si="8"/>
        <v>Jul-2025</v>
      </c>
      <c r="H300" s="2" t="str">
        <f t="shared" si="9"/>
        <v>Negative</v>
      </c>
    </row>
    <row r="301" spans="1:8" x14ac:dyDescent="0.25">
      <c r="A301" s="2" t="s">
        <v>303</v>
      </c>
      <c r="B301" s="2" t="s">
        <v>498</v>
      </c>
      <c r="C301" s="2" t="s">
        <v>510</v>
      </c>
      <c r="D301" s="2">
        <v>1</v>
      </c>
      <c r="E301" s="2" t="s">
        <v>521</v>
      </c>
      <c r="F301" s="3">
        <v>45719.266031132538</v>
      </c>
      <c r="G301" s="2" t="str">
        <f t="shared" si="8"/>
        <v>Mar-2025</v>
      </c>
      <c r="H301" s="2" t="str">
        <f t="shared" si="9"/>
        <v>Negative</v>
      </c>
    </row>
    <row r="302" spans="1:8" x14ac:dyDescent="0.25">
      <c r="A302" s="2" t="s">
        <v>304</v>
      </c>
      <c r="B302" s="2" t="s">
        <v>498</v>
      </c>
      <c r="C302" s="2" t="s">
        <v>510</v>
      </c>
      <c r="D302" s="2">
        <v>4</v>
      </c>
      <c r="E302" s="2" t="s">
        <v>519</v>
      </c>
      <c r="F302" s="3">
        <v>45732.266031132567</v>
      </c>
      <c r="G302" s="2" t="str">
        <f t="shared" si="8"/>
        <v>Mar-2025</v>
      </c>
      <c r="H302" s="2" t="str">
        <f t="shared" si="9"/>
        <v>Positive</v>
      </c>
    </row>
    <row r="303" spans="1:8" x14ac:dyDescent="0.25">
      <c r="A303" s="2" t="s">
        <v>305</v>
      </c>
      <c r="B303" s="2" t="s">
        <v>500</v>
      </c>
      <c r="C303" s="2" t="s">
        <v>509</v>
      </c>
      <c r="D303" s="2">
        <v>1</v>
      </c>
      <c r="E303" s="2" t="s">
        <v>516</v>
      </c>
      <c r="F303" s="3">
        <v>45625.266031132604</v>
      </c>
      <c r="G303" s="2" t="str">
        <f t="shared" si="8"/>
        <v>Nov-2024</v>
      </c>
      <c r="H303" s="2" t="str">
        <f t="shared" si="9"/>
        <v>Negative</v>
      </c>
    </row>
    <row r="304" spans="1:8" x14ac:dyDescent="0.25">
      <c r="A304" s="2" t="s">
        <v>306</v>
      </c>
      <c r="B304" s="2" t="s">
        <v>497</v>
      </c>
      <c r="C304" s="2" t="s">
        <v>508</v>
      </c>
      <c r="D304" s="2">
        <v>3</v>
      </c>
      <c r="E304" s="2" t="s">
        <v>517</v>
      </c>
      <c r="F304" s="3">
        <v>45583.266031132647</v>
      </c>
      <c r="G304" s="2" t="str">
        <f t="shared" si="8"/>
        <v>Oct-2024</v>
      </c>
      <c r="H304" s="2" t="str">
        <f t="shared" si="9"/>
        <v>Neutral</v>
      </c>
    </row>
    <row r="305" spans="1:8" x14ac:dyDescent="0.25">
      <c r="A305" s="2" t="s">
        <v>307</v>
      </c>
      <c r="B305" s="2" t="s">
        <v>498</v>
      </c>
      <c r="C305" s="2" t="s">
        <v>506</v>
      </c>
      <c r="D305" s="2">
        <v>2</v>
      </c>
      <c r="E305" s="2" t="s">
        <v>519</v>
      </c>
      <c r="F305" s="3">
        <v>45747.266031132684</v>
      </c>
      <c r="G305" s="2" t="str">
        <f t="shared" si="8"/>
        <v>Mar-2025</v>
      </c>
      <c r="H305" s="2" t="str">
        <f t="shared" si="9"/>
        <v>Negative</v>
      </c>
    </row>
    <row r="306" spans="1:8" x14ac:dyDescent="0.25">
      <c r="A306" s="2" t="s">
        <v>308</v>
      </c>
      <c r="B306" s="2" t="s">
        <v>499</v>
      </c>
      <c r="C306" s="2" t="s">
        <v>512</v>
      </c>
      <c r="D306" s="2">
        <v>5</v>
      </c>
      <c r="E306" s="2" t="s">
        <v>516</v>
      </c>
      <c r="F306" s="3">
        <v>45769.26603113272</v>
      </c>
      <c r="G306" s="2" t="str">
        <f t="shared" si="8"/>
        <v>Apr-2025</v>
      </c>
      <c r="H306" s="2" t="str">
        <f t="shared" si="9"/>
        <v>Positive</v>
      </c>
    </row>
    <row r="307" spans="1:8" x14ac:dyDescent="0.25">
      <c r="A307" s="2" t="s">
        <v>309</v>
      </c>
      <c r="B307" s="2" t="s">
        <v>498</v>
      </c>
      <c r="C307" s="2" t="s">
        <v>507</v>
      </c>
      <c r="D307" s="2">
        <v>5</v>
      </c>
      <c r="E307" s="2" t="s">
        <v>522</v>
      </c>
      <c r="F307" s="3">
        <v>45682.266031132764</v>
      </c>
      <c r="G307" s="2" t="str">
        <f t="shared" si="8"/>
        <v>Jan-2025</v>
      </c>
      <c r="H307" s="2" t="str">
        <f t="shared" si="9"/>
        <v>Positive</v>
      </c>
    </row>
    <row r="308" spans="1:8" x14ac:dyDescent="0.25">
      <c r="A308" s="2" t="s">
        <v>310</v>
      </c>
      <c r="B308" s="2" t="s">
        <v>497</v>
      </c>
      <c r="C308" s="2" t="s">
        <v>511</v>
      </c>
      <c r="D308" s="2">
        <v>2</v>
      </c>
      <c r="E308" s="2" t="s">
        <v>515</v>
      </c>
      <c r="F308" s="3">
        <v>45646.2660311328</v>
      </c>
      <c r="G308" s="2" t="str">
        <f t="shared" si="8"/>
        <v>Dec-2024</v>
      </c>
      <c r="H308" s="2" t="str">
        <f t="shared" si="9"/>
        <v>Negative</v>
      </c>
    </row>
    <row r="309" spans="1:8" x14ac:dyDescent="0.25">
      <c r="A309" s="2" t="s">
        <v>311</v>
      </c>
      <c r="B309" s="2" t="s">
        <v>494</v>
      </c>
      <c r="C309" s="2" t="s">
        <v>506</v>
      </c>
      <c r="D309" s="2">
        <v>4</v>
      </c>
      <c r="E309" s="2" t="s">
        <v>520</v>
      </c>
      <c r="F309" s="3">
        <v>45585.266031132844</v>
      </c>
      <c r="G309" s="2" t="str">
        <f t="shared" si="8"/>
        <v>Oct-2024</v>
      </c>
      <c r="H309" s="2" t="str">
        <f t="shared" si="9"/>
        <v>Positive</v>
      </c>
    </row>
    <row r="310" spans="1:8" x14ac:dyDescent="0.25">
      <c r="A310" s="2" t="s">
        <v>312</v>
      </c>
      <c r="B310" s="2" t="s">
        <v>497</v>
      </c>
      <c r="C310" s="2" t="s">
        <v>506</v>
      </c>
      <c r="D310" s="2">
        <v>3</v>
      </c>
      <c r="E310" s="2" t="s">
        <v>513</v>
      </c>
      <c r="F310" s="3">
        <v>45606.266031132873</v>
      </c>
      <c r="G310" s="2" t="str">
        <f t="shared" si="8"/>
        <v>Nov-2024</v>
      </c>
      <c r="H310" s="2" t="str">
        <f t="shared" si="9"/>
        <v>Neutral</v>
      </c>
    </row>
    <row r="311" spans="1:8" x14ac:dyDescent="0.25">
      <c r="A311" s="2" t="s">
        <v>258</v>
      </c>
      <c r="B311" s="2" t="s">
        <v>497</v>
      </c>
      <c r="C311" s="2" t="s">
        <v>505</v>
      </c>
      <c r="D311" s="2">
        <v>3</v>
      </c>
      <c r="E311" s="2" t="s">
        <v>515</v>
      </c>
      <c r="F311" s="3">
        <v>45753.266031132916</v>
      </c>
      <c r="G311" s="2" t="str">
        <f t="shared" si="8"/>
        <v>Apr-2025</v>
      </c>
      <c r="H311" s="2" t="str">
        <f t="shared" si="9"/>
        <v>Neutral</v>
      </c>
    </row>
    <row r="312" spans="1:8" x14ac:dyDescent="0.25">
      <c r="A312" s="2" t="s">
        <v>313</v>
      </c>
      <c r="B312" s="2" t="s">
        <v>497</v>
      </c>
      <c r="C312" s="2" t="s">
        <v>510</v>
      </c>
      <c r="D312" s="2">
        <v>4</v>
      </c>
      <c r="E312" s="2" t="s">
        <v>518</v>
      </c>
      <c r="F312" s="3">
        <v>45683.266031132953</v>
      </c>
      <c r="G312" s="2" t="str">
        <f t="shared" si="8"/>
        <v>Jan-2025</v>
      </c>
      <c r="H312" s="2" t="str">
        <f t="shared" si="9"/>
        <v>Positive</v>
      </c>
    </row>
    <row r="313" spans="1:8" x14ac:dyDescent="0.25">
      <c r="A313" s="2" t="s">
        <v>314</v>
      </c>
      <c r="B313" s="2" t="s">
        <v>498</v>
      </c>
      <c r="C313" s="2" t="s">
        <v>505</v>
      </c>
      <c r="D313" s="2">
        <v>3</v>
      </c>
      <c r="E313" s="2" t="s">
        <v>514</v>
      </c>
      <c r="F313" s="3">
        <v>45725.266031132996</v>
      </c>
      <c r="G313" s="2" t="str">
        <f t="shared" si="8"/>
        <v>Mar-2025</v>
      </c>
      <c r="H313" s="2" t="str">
        <f t="shared" si="9"/>
        <v>Neutral</v>
      </c>
    </row>
    <row r="314" spans="1:8" x14ac:dyDescent="0.25">
      <c r="A314" s="2" t="s">
        <v>315</v>
      </c>
      <c r="B314" s="2" t="s">
        <v>501</v>
      </c>
      <c r="C314" s="2" t="s">
        <v>507</v>
      </c>
      <c r="D314" s="2">
        <v>2</v>
      </c>
      <c r="E314" s="2" t="s">
        <v>516</v>
      </c>
      <c r="F314" s="3">
        <v>45760.266031133033</v>
      </c>
      <c r="G314" s="2" t="str">
        <f t="shared" si="8"/>
        <v>Apr-2025</v>
      </c>
      <c r="H314" s="2" t="str">
        <f t="shared" si="9"/>
        <v>Negative</v>
      </c>
    </row>
    <row r="315" spans="1:8" x14ac:dyDescent="0.25">
      <c r="A315" s="2" t="s">
        <v>316</v>
      </c>
      <c r="B315" s="2" t="s">
        <v>498</v>
      </c>
      <c r="C315" s="2" t="s">
        <v>510</v>
      </c>
      <c r="D315" s="2">
        <v>3</v>
      </c>
      <c r="E315" s="2" t="s">
        <v>514</v>
      </c>
      <c r="F315" s="3">
        <v>45838.266031133076</v>
      </c>
      <c r="G315" s="2" t="str">
        <f t="shared" si="8"/>
        <v>Jun-2025</v>
      </c>
      <c r="H315" s="2" t="str">
        <f t="shared" si="9"/>
        <v>Neutral</v>
      </c>
    </row>
    <row r="316" spans="1:8" x14ac:dyDescent="0.25">
      <c r="A316" s="2" t="s">
        <v>317</v>
      </c>
      <c r="B316" s="2" t="s">
        <v>493</v>
      </c>
      <c r="C316" s="2" t="s">
        <v>510</v>
      </c>
      <c r="D316" s="2">
        <v>1</v>
      </c>
      <c r="E316" s="2" t="s">
        <v>519</v>
      </c>
      <c r="F316" s="3">
        <v>45681.266031133113</v>
      </c>
      <c r="G316" s="2" t="str">
        <f t="shared" si="8"/>
        <v>Jan-2025</v>
      </c>
      <c r="H316" s="2" t="str">
        <f t="shared" si="9"/>
        <v>Negative</v>
      </c>
    </row>
    <row r="317" spans="1:8" x14ac:dyDescent="0.25">
      <c r="A317" s="2" t="s">
        <v>318</v>
      </c>
      <c r="B317" s="2" t="s">
        <v>498</v>
      </c>
      <c r="C317" s="2" t="s">
        <v>503</v>
      </c>
      <c r="D317" s="2">
        <v>4</v>
      </c>
      <c r="E317" s="2" t="s">
        <v>517</v>
      </c>
      <c r="F317" s="3">
        <v>45808.266031133149</v>
      </c>
      <c r="G317" s="2" t="str">
        <f t="shared" si="8"/>
        <v>May-2025</v>
      </c>
      <c r="H317" s="2" t="str">
        <f t="shared" si="9"/>
        <v>Positive</v>
      </c>
    </row>
    <row r="318" spans="1:8" x14ac:dyDescent="0.25">
      <c r="A318" s="2" t="s">
        <v>319</v>
      </c>
      <c r="B318" s="2" t="s">
        <v>495</v>
      </c>
      <c r="C318" s="2" t="s">
        <v>505</v>
      </c>
      <c r="D318" s="2">
        <v>5</v>
      </c>
      <c r="E318" s="2" t="s">
        <v>521</v>
      </c>
      <c r="F318" s="3">
        <v>45869.266031133193</v>
      </c>
      <c r="G318" s="2" t="str">
        <f t="shared" si="8"/>
        <v>Jul-2025</v>
      </c>
      <c r="H318" s="2" t="str">
        <f t="shared" si="9"/>
        <v>Positive</v>
      </c>
    </row>
    <row r="319" spans="1:8" x14ac:dyDescent="0.25">
      <c r="A319" s="2" t="s">
        <v>320</v>
      </c>
      <c r="B319" s="2" t="s">
        <v>501</v>
      </c>
      <c r="C319" s="2" t="s">
        <v>510</v>
      </c>
      <c r="D319" s="2">
        <v>4</v>
      </c>
      <c r="E319" s="2" t="s">
        <v>522</v>
      </c>
      <c r="F319" s="3">
        <v>45824.266031133207</v>
      </c>
      <c r="G319" s="2" t="str">
        <f t="shared" si="8"/>
        <v>Jun-2025</v>
      </c>
      <c r="H319" s="2" t="str">
        <f t="shared" si="9"/>
        <v>Positive</v>
      </c>
    </row>
    <row r="320" spans="1:8" x14ac:dyDescent="0.25">
      <c r="A320" s="2" t="s">
        <v>321</v>
      </c>
      <c r="B320" s="2" t="s">
        <v>497</v>
      </c>
      <c r="C320" s="2" t="s">
        <v>509</v>
      </c>
      <c r="D320" s="2">
        <v>1</v>
      </c>
      <c r="E320" s="2" t="s">
        <v>518</v>
      </c>
      <c r="F320" s="3">
        <v>45793.266031133273</v>
      </c>
      <c r="G320" s="2" t="str">
        <f t="shared" si="8"/>
        <v>May-2025</v>
      </c>
      <c r="H320" s="2" t="str">
        <f t="shared" si="9"/>
        <v>Negative</v>
      </c>
    </row>
    <row r="321" spans="1:8" x14ac:dyDescent="0.25">
      <c r="A321" s="2" t="s">
        <v>322</v>
      </c>
      <c r="B321" s="2" t="s">
        <v>498</v>
      </c>
      <c r="C321" s="2" t="s">
        <v>505</v>
      </c>
      <c r="D321" s="2">
        <v>4</v>
      </c>
      <c r="E321" s="2" t="s">
        <v>521</v>
      </c>
      <c r="F321" s="3">
        <v>45562.266031133302</v>
      </c>
      <c r="G321" s="2" t="str">
        <f t="shared" si="8"/>
        <v>Sep-2024</v>
      </c>
      <c r="H321" s="2" t="str">
        <f t="shared" si="9"/>
        <v>Positive</v>
      </c>
    </row>
    <row r="322" spans="1:8" x14ac:dyDescent="0.25">
      <c r="A322" s="2" t="s">
        <v>323</v>
      </c>
      <c r="B322" s="2" t="s">
        <v>497</v>
      </c>
      <c r="C322" s="2" t="s">
        <v>512</v>
      </c>
      <c r="D322" s="2">
        <v>1</v>
      </c>
      <c r="E322" s="2" t="s">
        <v>522</v>
      </c>
      <c r="F322" s="3">
        <v>45526.266031133353</v>
      </c>
      <c r="G322" s="2" t="str">
        <f t="shared" ref="G322:G385" si="10">TEXT(F322,"mmm-yyyy")</f>
        <v>Aug-2024</v>
      </c>
      <c r="H322" s="2" t="str">
        <f t="shared" ref="H322:H385" si="11">IF(D322&gt;=4,"Positive",IF(D322=3,"Neutral","Negative"))</f>
        <v>Negative</v>
      </c>
    </row>
    <row r="323" spans="1:8" x14ac:dyDescent="0.25">
      <c r="A323" s="2" t="s">
        <v>324</v>
      </c>
      <c r="B323" s="2" t="s">
        <v>496</v>
      </c>
      <c r="C323" s="2" t="s">
        <v>503</v>
      </c>
      <c r="D323" s="2">
        <v>4</v>
      </c>
      <c r="E323" s="2" t="s">
        <v>520</v>
      </c>
      <c r="F323" s="3">
        <v>45620.266031133462</v>
      </c>
      <c r="G323" s="2" t="str">
        <f t="shared" si="10"/>
        <v>Nov-2024</v>
      </c>
      <c r="H323" s="2" t="str">
        <f t="shared" si="11"/>
        <v>Positive</v>
      </c>
    </row>
    <row r="324" spans="1:8" x14ac:dyDescent="0.25">
      <c r="A324" s="2" t="s">
        <v>325</v>
      </c>
      <c r="B324" s="2" t="s">
        <v>496</v>
      </c>
      <c r="C324" s="2" t="s">
        <v>507</v>
      </c>
      <c r="D324" s="2">
        <v>1</v>
      </c>
      <c r="E324" s="2" t="s">
        <v>521</v>
      </c>
      <c r="F324" s="3">
        <v>45845.266031133498</v>
      </c>
      <c r="G324" s="2" t="str">
        <f t="shared" si="10"/>
        <v>Jul-2025</v>
      </c>
      <c r="H324" s="2" t="str">
        <f t="shared" si="11"/>
        <v>Negative</v>
      </c>
    </row>
    <row r="325" spans="1:8" x14ac:dyDescent="0.25">
      <c r="A325" s="2" t="s">
        <v>326</v>
      </c>
      <c r="B325" s="2" t="s">
        <v>500</v>
      </c>
      <c r="C325" s="2" t="s">
        <v>504</v>
      </c>
      <c r="D325" s="2">
        <v>3</v>
      </c>
      <c r="E325" s="2" t="s">
        <v>518</v>
      </c>
      <c r="F325" s="3">
        <v>45748.266031133528</v>
      </c>
      <c r="G325" s="2" t="str">
        <f t="shared" si="10"/>
        <v>Apr-2025</v>
      </c>
      <c r="H325" s="2" t="str">
        <f t="shared" si="11"/>
        <v>Neutral</v>
      </c>
    </row>
    <row r="326" spans="1:8" x14ac:dyDescent="0.25">
      <c r="A326" s="2" t="s">
        <v>327</v>
      </c>
      <c r="B326" s="2" t="s">
        <v>494</v>
      </c>
      <c r="C326" s="2" t="s">
        <v>506</v>
      </c>
      <c r="D326" s="2">
        <v>2</v>
      </c>
      <c r="E326" s="2" t="s">
        <v>515</v>
      </c>
      <c r="F326" s="3">
        <v>45600.266031133579</v>
      </c>
      <c r="G326" s="2" t="str">
        <f t="shared" si="10"/>
        <v>Nov-2024</v>
      </c>
      <c r="H326" s="2" t="str">
        <f t="shared" si="11"/>
        <v>Negative</v>
      </c>
    </row>
    <row r="327" spans="1:8" x14ac:dyDescent="0.25">
      <c r="A327" s="2" t="s">
        <v>328</v>
      </c>
      <c r="B327" s="2" t="s">
        <v>500</v>
      </c>
      <c r="C327" s="2" t="s">
        <v>511</v>
      </c>
      <c r="D327" s="2">
        <v>3</v>
      </c>
      <c r="E327" s="2" t="s">
        <v>517</v>
      </c>
      <c r="F327" s="3">
        <v>45615.266031133608</v>
      </c>
      <c r="G327" s="2" t="str">
        <f t="shared" si="10"/>
        <v>Nov-2024</v>
      </c>
      <c r="H327" s="2" t="str">
        <f t="shared" si="11"/>
        <v>Neutral</v>
      </c>
    </row>
    <row r="328" spans="1:8" x14ac:dyDescent="0.25">
      <c r="A328" s="2" t="s">
        <v>329</v>
      </c>
      <c r="B328" s="2" t="s">
        <v>502</v>
      </c>
      <c r="C328" s="2" t="s">
        <v>506</v>
      </c>
      <c r="D328" s="2">
        <v>5</v>
      </c>
      <c r="E328" s="2" t="s">
        <v>515</v>
      </c>
      <c r="F328" s="3">
        <v>45869.266031133659</v>
      </c>
      <c r="G328" s="2" t="str">
        <f t="shared" si="10"/>
        <v>Jul-2025</v>
      </c>
      <c r="H328" s="2" t="str">
        <f t="shared" si="11"/>
        <v>Positive</v>
      </c>
    </row>
    <row r="329" spans="1:8" x14ac:dyDescent="0.25">
      <c r="A329" s="2" t="s">
        <v>330</v>
      </c>
      <c r="B329" s="2" t="s">
        <v>500</v>
      </c>
      <c r="C329" s="2" t="s">
        <v>508</v>
      </c>
      <c r="D329" s="2">
        <v>3</v>
      </c>
      <c r="E329" s="2" t="s">
        <v>516</v>
      </c>
      <c r="F329" s="3">
        <v>45683.266031133702</v>
      </c>
      <c r="G329" s="2" t="str">
        <f t="shared" si="10"/>
        <v>Jan-2025</v>
      </c>
      <c r="H329" s="2" t="str">
        <f t="shared" si="11"/>
        <v>Neutral</v>
      </c>
    </row>
    <row r="330" spans="1:8" x14ac:dyDescent="0.25">
      <c r="A330" s="2" t="s">
        <v>331</v>
      </c>
      <c r="B330" s="2" t="s">
        <v>493</v>
      </c>
      <c r="C330" s="2" t="s">
        <v>506</v>
      </c>
      <c r="D330" s="2">
        <v>2</v>
      </c>
      <c r="E330" s="2" t="s">
        <v>519</v>
      </c>
      <c r="F330" s="3">
        <v>45661.266031133768</v>
      </c>
      <c r="G330" s="2" t="str">
        <f t="shared" si="10"/>
        <v>Jan-2025</v>
      </c>
      <c r="H330" s="2" t="str">
        <f t="shared" si="11"/>
        <v>Negative</v>
      </c>
    </row>
    <row r="331" spans="1:8" x14ac:dyDescent="0.25">
      <c r="A331" s="2" t="s">
        <v>332</v>
      </c>
      <c r="B331" s="2" t="s">
        <v>499</v>
      </c>
      <c r="C331" s="2" t="s">
        <v>510</v>
      </c>
      <c r="D331" s="2">
        <v>3</v>
      </c>
      <c r="E331" s="2" t="s">
        <v>520</v>
      </c>
      <c r="F331" s="3">
        <v>45589.266031133833</v>
      </c>
      <c r="G331" s="2" t="str">
        <f t="shared" si="10"/>
        <v>Oct-2024</v>
      </c>
      <c r="H331" s="2" t="str">
        <f t="shared" si="11"/>
        <v>Neutral</v>
      </c>
    </row>
    <row r="332" spans="1:8" x14ac:dyDescent="0.25">
      <c r="A332" s="2" t="s">
        <v>333</v>
      </c>
      <c r="B332" s="2" t="s">
        <v>495</v>
      </c>
      <c r="C332" s="2" t="s">
        <v>508</v>
      </c>
      <c r="D332" s="2">
        <v>1</v>
      </c>
      <c r="E332" s="2" t="s">
        <v>514</v>
      </c>
      <c r="F332" s="3">
        <v>45576.266031133899</v>
      </c>
      <c r="G332" s="2" t="str">
        <f t="shared" si="10"/>
        <v>Oct-2024</v>
      </c>
      <c r="H332" s="2" t="str">
        <f t="shared" si="11"/>
        <v>Negative</v>
      </c>
    </row>
    <row r="333" spans="1:8" x14ac:dyDescent="0.25">
      <c r="A333" s="2" t="s">
        <v>334</v>
      </c>
      <c r="B333" s="2" t="s">
        <v>496</v>
      </c>
      <c r="C333" s="2" t="s">
        <v>506</v>
      </c>
      <c r="D333" s="2">
        <v>4</v>
      </c>
      <c r="E333" s="2" t="s">
        <v>514</v>
      </c>
      <c r="F333" s="3">
        <v>45847.266031133971</v>
      </c>
      <c r="G333" s="2" t="str">
        <f t="shared" si="10"/>
        <v>Jul-2025</v>
      </c>
      <c r="H333" s="2" t="str">
        <f t="shared" si="11"/>
        <v>Positive</v>
      </c>
    </row>
    <row r="334" spans="1:8" x14ac:dyDescent="0.25">
      <c r="A334" s="2" t="s">
        <v>335</v>
      </c>
      <c r="B334" s="2" t="s">
        <v>501</v>
      </c>
      <c r="C334" s="2" t="s">
        <v>503</v>
      </c>
      <c r="D334" s="2">
        <v>2</v>
      </c>
      <c r="E334" s="2" t="s">
        <v>513</v>
      </c>
      <c r="F334" s="3">
        <v>45561.266031134088</v>
      </c>
      <c r="G334" s="2" t="str">
        <f t="shared" si="10"/>
        <v>Sep-2024</v>
      </c>
      <c r="H334" s="2" t="str">
        <f t="shared" si="11"/>
        <v>Negative</v>
      </c>
    </row>
    <row r="335" spans="1:8" x14ac:dyDescent="0.25">
      <c r="A335" s="2" t="s">
        <v>336</v>
      </c>
      <c r="B335" s="2" t="s">
        <v>501</v>
      </c>
      <c r="C335" s="2" t="s">
        <v>511</v>
      </c>
      <c r="D335" s="2">
        <v>2</v>
      </c>
      <c r="E335" s="2" t="s">
        <v>515</v>
      </c>
      <c r="F335" s="3">
        <v>45602.266031134117</v>
      </c>
      <c r="G335" s="2" t="str">
        <f t="shared" si="10"/>
        <v>Nov-2024</v>
      </c>
      <c r="H335" s="2" t="str">
        <f t="shared" si="11"/>
        <v>Negative</v>
      </c>
    </row>
    <row r="336" spans="1:8" x14ac:dyDescent="0.25">
      <c r="A336" s="2" t="s">
        <v>337</v>
      </c>
      <c r="B336" s="2" t="s">
        <v>499</v>
      </c>
      <c r="C336" s="2" t="s">
        <v>509</v>
      </c>
      <c r="D336" s="2">
        <v>2</v>
      </c>
      <c r="E336" s="2" t="s">
        <v>520</v>
      </c>
      <c r="F336" s="3">
        <v>45750.266031134153</v>
      </c>
      <c r="G336" s="2" t="str">
        <f t="shared" si="10"/>
        <v>Apr-2025</v>
      </c>
      <c r="H336" s="2" t="str">
        <f t="shared" si="11"/>
        <v>Negative</v>
      </c>
    </row>
    <row r="337" spans="1:8" x14ac:dyDescent="0.25">
      <c r="A337" s="2" t="s">
        <v>338</v>
      </c>
      <c r="B337" s="2" t="s">
        <v>499</v>
      </c>
      <c r="C337" s="2" t="s">
        <v>507</v>
      </c>
      <c r="D337" s="2">
        <v>2</v>
      </c>
      <c r="E337" s="2" t="s">
        <v>518</v>
      </c>
      <c r="F337" s="3">
        <v>45790.26603113419</v>
      </c>
      <c r="G337" s="2" t="str">
        <f t="shared" si="10"/>
        <v>May-2025</v>
      </c>
      <c r="H337" s="2" t="str">
        <f t="shared" si="11"/>
        <v>Negative</v>
      </c>
    </row>
    <row r="338" spans="1:8" x14ac:dyDescent="0.25">
      <c r="A338" s="2" t="s">
        <v>339</v>
      </c>
      <c r="B338" s="2" t="s">
        <v>498</v>
      </c>
      <c r="C338" s="2" t="s">
        <v>506</v>
      </c>
      <c r="D338" s="2">
        <v>5</v>
      </c>
      <c r="E338" s="2" t="s">
        <v>514</v>
      </c>
      <c r="F338" s="3">
        <v>45601.266031134248</v>
      </c>
      <c r="G338" s="2" t="str">
        <f t="shared" si="10"/>
        <v>Nov-2024</v>
      </c>
      <c r="H338" s="2" t="str">
        <f t="shared" si="11"/>
        <v>Positive</v>
      </c>
    </row>
    <row r="339" spans="1:8" x14ac:dyDescent="0.25">
      <c r="A339" s="2" t="s">
        <v>340</v>
      </c>
      <c r="B339" s="2" t="s">
        <v>497</v>
      </c>
      <c r="C339" s="2" t="s">
        <v>511</v>
      </c>
      <c r="D339" s="2">
        <v>2</v>
      </c>
      <c r="E339" s="2" t="s">
        <v>518</v>
      </c>
      <c r="F339" s="3">
        <v>45668.266031134321</v>
      </c>
      <c r="G339" s="2" t="str">
        <f t="shared" si="10"/>
        <v>Jan-2025</v>
      </c>
      <c r="H339" s="2" t="str">
        <f t="shared" si="11"/>
        <v>Negative</v>
      </c>
    </row>
    <row r="340" spans="1:8" x14ac:dyDescent="0.25">
      <c r="A340" s="2" t="s">
        <v>341</v>
      </c>
      <c r="B340" s="2" t="s">
        <v>495</v>
      </c>
      <c r="C340" s="2" t="s">
        <v>506</v>
      </c>
      <c r="D340" s="2">
        <v>3</v>
      </c>
      <c r="E340" s="2" t="s">
        <v>520</v>
      </c>
      <c r="F340" s="3">
        <v>45807.266031134372</v>
      </c>
      <c r="G340" s="2" t="str">
        <f t="shared" si="10"/>
        <v>May-2025</v>
      </c>
      <c r="H340" s="2" t="str">
        <f t="shared" si="11"/>
        <v>Neutral</v>
      </c>
    </row>
    <row r="341" spans="1:8" x14ac:dyDescent="0.25">
      <c r="A341" s="2" t="s">
        <v>342</v>
      </c>
      <c r="B341" s="2" t="s">
        <v>498</v>
      </c>
      <c r="C341" s="2" t="s">
        <v>503</v>
      </c>
      <c r="D341" s="2">
        <v>4</v>
      </c>
      <c r="E341" s="2" t="s">
        <v>516</v>
      </c>
      <c r="F341" s="3">
        <v>45769.266031134437</v>
      </c>
      <c r="G341" s="2" t="str">
        <f t="shared" si="10"/>
        <v>Apr-2025</v>
      </c>
      <c r="H341" s="2" t="str">
        <f t="shared" si="11"/>
        <v>Positive</v>
      </c>
    </row>
    <row r="342" spans="1:8" x14ac:dyDescent="0.25">
      <c r="A342" s="2" t="s">
        <v>343</v>
      </c>
      <c r="B342" s="2" t="s">
        <v>497</v>
      </c>
      <c r="C342" s="2" t="s">
        <v>507</v>
      </c>
      <c r="D342" s="2">
        <v>3</v>
      </c>
      <c r="E342" s="2" t="s">
        <v>516</v>
      </c>
      <c r="F342" s="3">
        <v>45538.266031134488</v>
      </c>
      <c r="G342" s="2" t="str">
        <f t="shared" si="10"/>
        <v>Sep-2024</v>
      </c>
      <c r="H342" s="2" t="str">
        <f t="shared" si="11"/>
        <v>Neutral</v>
      </c>
    </row>
    <row r="343" spans="1:8" x14ac:dyDescent="0.25">
      <c r="A343" s="2" t="s">
        <v>344</v>
      </c>
      <c r="B343" s="2" t="s">
        <v>500</v>
      </c>
      <c r="C343" s="2" t="s">
        <v>510</v>
      </c>
      <c r="D343" s="2">
        <v>1</v>
      </c>
      <c r="E343" s="2" t="s">
        <v>516</v>
      </c>
      <c r="F343" s="3">
        <v>45545.266031134539</v>
      </c>
      <c r="G343" s="2" t="str">
        <f t="shared" si="10"/>
        <v>Sep-2024</v>
      </c>
      <c r="H343" s="2" t="str">
        <f t="shared" si="11"/>
        <v>Negative</v>
      </c>
    </row>
    <row r="344" spans="1:8" x14ac:dyDescent="0.25">
      <c r="A344" s="2" t="s">
        <v>345</v>
      </c>
      <c r="B344" s="2" t="s">
        <v>493</v>
      </c>
      <c r="C344" s="2" t="s">
        <v>511</v>
      </c>
      <c r="D344" s="2">
        <v>2</v>
      </c>
      <c r="E344" s="2" t="s">
        <v>513</v>
      </c>
      <c r="F344" s="3">
        <v>45878.266031134583</v>
      </c>
      <c r="G344" s="2" t="str">
        <f t="shared" si="10"/>
        <v>Aug-2025</v>
      </c>
      <c r="H344" s="2" t="str">
        <f t="shared" si="11"/>
        <v>Negative</v>
      </c>
    </row>
    <row r="345" spans="1:8" x14ac:dyDescent="0.25">
      <c r="A345" s="2" t="s">
        <v>346</v>
      </c>
      <c r="B345" s="2" t="s">
        <v>502</v>
      </c>
      <c r="C345" s="2" t="s">
        <v>507</v>
      </c>
      <c r="D345" s="2">
        <v>2</v>
      </c>
      <c r="E345" s="2" t="s">
        <v>520</v>
      </c>
      <c r="F345" s="3">
        <v>45855.266031134597</v>
      </c>
      <c r="G345" s="2" t="str">
        <f t="shared" si="10"/>
        <v>Jul-2025</v>
      </c>
      <c r="H345" s="2" t="str">
        <f t="shared" si="11"/>
        <v>Negative</v>
      </c>
    </row>
    <row r="346" spans="1:8" x14ac:dyDescent="0.25">
      <c r="A346" s="2" t="s">
        <v>347</v>
      </c>
      <c r="B346" s="2" t="s">
        <v>493</v>
      </c>
      <c r="C346" s="2" t="s">
        <v>505</v>
      </c>
      <c r="D346" s="2">
        <v>4</v>
      </c>
      <c r="E346" s="2" t="s">
        <v>522</v>
      </c>
      <c r="F346" s="3">
        <v>45762.266031134641</v>
      </c>
      <c r="G346" s="2" t="str">
        <f t="shared" si="10"/>
        <v>Apr-2025</v>
      </c>
      <c r="H346" s="2" t="str">
        <f t="shared" si="11"/>
        <v>Positive</v>
      </c>
    </row>
    <row r="347" spans="1:8" x14ac:dyDescent="0.25">
      <c r="A347" s="2" t="s">
        <v>348</v>
      </c>
      <c r="B347" s="2" t="s">
        <v>500</v>
      </c>
      <c r="C347" s="2" t="s">
        <v>512</v>
      </c>
      <c r="D347" s="2">
        <v>3</v>
      </c>
      <c r="E347" s="2" t="s">
        <v>520</v>
      </c>
      <c r="F347" s="3">
        <v>45858.266031134677</v>
      </c>
      <c r="G347" s="2" t="str">
        <f t="shared" si="10"/>
        <v>Jul-2025</v>
      </c>
      <c r="H347" s="2" t="str">
        <f t="shared" si="11"/>
        <v>Neutral</v>
      </c>
    </row>
    <row r="348" spans="1:8" x14ac:dyDescent="0.25">
      <c r="A348" s="2" t="s">
        <v>349</v>
      </c>
      <c r="B348" s="2" t="s">
        <v>497</v>
      </c>
      <c r="C348" s="2" t="s">
        <v>507</v>
      </c>
      <c r="D348" s="2">
        <v>2</v>
      </c>
      <c r="E348" s="2" t="s">
        <v>518</v>
      </c>
      <c r="F348" s="3">
        <v>45872.266031134721</v>
      </c>
      <c r="G348" s="2" t="str">
        <f t="shared" si="10"/>
        <v>Aug-2025</v>
      </c>
      <c r="H348" s="2" t="str">
        <f t="shared" si="11"/>
        <v>Negative</v>
      </c>
    </row>
    <row r="349" spans="1:8" x14ac:dyDescent="0.25">
      <c r="A349" s="2" t="s">
        <v>350</v>
      </c>
      <c r="B349" s="2" t="s">
        <v>494</v>
      </c>
      <c r="C349" s="2" t="s">
        <v>503</v>
      </c>
      <c r="D349" s="2">
        <v>2</v>
      </c>
      <c r="E349" s="2" t="s">
        <v>513</v>
      </c>
      <c r="F349" s="3">
        <v>45544.266031134757</v>
      </c>
      <c r="G349" s="2" t="str">
        <f t="shared" si="10"/>
        <v>Sep-2024</v>
      </c>
      <c r="H349" s="2" t="str">
        <f t="shared" si="11"/>
        <v>Negative</v>
      </c>
    </row>
    <row r="350" spans="1:8" x14ac:dyDescent="0.25">
      <c r="A350" s="2" t="s">
        <v>351</v>
      </c>
      <c r="B350" s="2" t="s">
        <v>496</v>
      </c>
      <c r="C350" s="2" t="s">
        <v>510</v>
      </c>
      <c r="D350" s="2">
        <v>2</v>
      </c>
      <c r="E350" s="2" t="s">
        <v>515</v>
      </c>
      <c r="F350" s="3">
        <v>45692.266031134794</v>
      </c>
      <c r="G350" s="2" t="str">
        <f t="shared" si="10"/>
        <v>Feb-2025</v>
      </c>
      <c r="H350" s="2" t="str">
        <f t="shared" si="11"/>
        <v>Negative</v>
      </c>
    </row>
    <row r="351" spans="1:8" x14ac:dyDescent="0.25">
      <c r="A351" s="2" t="s">
        <v>352</v>
      </c>
      <c r="B351" s="2" t="s">
        <v>497</v>
      </c>
      <c r="C351" s="2" t="s">
        <v>512</v>
      </c>
      <c r="D351" s="2">
        <v>1</v>
      </c>
      <c r="E351" s="2" t="s">
        <v>518</v>
      </c>
      <c r="F351" s="3">
        <v>45535.26603113483</v>
      </c>
      <c r="G351" s="2" t="str">
        <f t="shared" si="10"/>
        <v>Aug-2024</v>
      </c>
      <c r="H351" s="2" t="str">
        <f t="shared" si="11"/>
        <v>Negative</v>
      </c>
    </row>
    <row r="352" spans="1:8" x14ac:dyDescent="0.25">
      <c r="A352" s="2" t="s">
        <v>353</v>
      </c>
      <c r="B352" s="2" t="s">
        <v>501</v>
      </c>
      <c r="C352" s="2" t="s">
        <v>512</v>
      </c>
      <c r="D352" s="2">
        <v>1</v>
      </c>
      <c r="E352" s="2" t="s">
        <v>522</v>
      </c>
      <c r="F352" s="3">
        <v>45713.266031134859</v>
      </c>
      <c r="G352" s="2" t="str">
        <f t="shared" si="10"/>
        <v>Feb-2025</v>
      </c>
      <c r="H352" s="2" t="str">
        <f t="shared" si="11"/>
        <v>Negative</v>
      </c>
    </row>
    <row r="353" spans="1:8" x14ac:dyDescent="0.25">
      <c r="A353" s="2" t="s">
        <v>354</v>
      </c>
      <c r="B353" s="2" t="s">
        <v>496</v>
      </c>
      <c r="C353" s="2" t="s">
        <v>512</v>
      </c>
      <c r="D353" s="2">
        <v>2</v>
      </c>
      <c r="E353" s="2" t="s">
        <v>513</v>
      </c>
      <c r="F353" s="3">
        <v>45806.26603113491</v>
      </c>
      <c r="G353" s="2" t="str">
        <f t="shared" si="10"/>
        <v>May-2025</v>
      </c>
      <c r="H353" s="2" t="str">
        <f t="shared" si="11"/>
        <v>Negative</v>
      </c>
    </row>
    <row r="354" spans="1:8" x14ac:dyDescent="0.25">
      <c r="A354" s="2" t="s">
        <v>355</v>
      </c>
      <c r="B354" s="2" t="s">
        <v>495</v>
      </c>
      <c r="C354" s="2" t="s">
        <v>506</v>
      </c>
      <c r="D354" s="2">
        <v>1</v>
      </c>
      <c r="E354" s="2" t="s">
        <v>515</v>
      </c>
      <c r="F354" s="3">
        <v>45629.266031134939</v>
      </c>
      <c r="G354" s="2" t="str">
        <f t="shared" si="10"/>
        <v>Dec-2024</v>
      </c>
      <c r="H354" s="2" t="str">
        <f t="shared" si="11"/>
        <v>Negative</v>
      </c>
    </row>
    <row r="355" spans="1:8" x14ac:dyDescent="0.25">
      <c r="A355" s="2" t="s">
        <v>356</v>
      </c>
      <c r="B355" s="2" t="s">
        <v>497</v>
      </c>
      <c r="C355" s="2" t="s">
        <v>511</v>
      </c>
      <c r="D355" s="2">
        <v>1</v>
      </c>
      <c r="E355" s="2" t="s">
        <v>513</v>
      </c>
      <c r="F355" s="3">
        <v>45681.26603113499</v>
      </c>
      <c r="G355" s="2" t="str">
        <f t="shared" si="10"/>
        <v>Jan-2025</v>
      </c>
      <c r="H355" s="2" t="str">
        <f t="shared" si="11"/>
        <v>Negative</v>
      </c>
    </row>
    <row r="356" spans="1:8" x14ac:dyDescent="0.25">
      <c r="A356" s="2" t="s">
        <v>357</v>
      </c>
      <c r="B356" s="2" t="s">
        <v>499</v>
      </c>
      <c r="C356" s="2" t="s">
        <v>504</v>
      </c>
      <c r="D356" s="2">
        <v>5</v>
      </c>
      <c r="E356" s="2" t="s">
        <v>519</v>
      </c>
      <c r="F356" s="3">
        <v>45821.266031135026</v>
      </c>
      <c r="G356" s="2" t="str">
        <f t="shared" si="10"/>
        <v>Jun-2025</v>
      </c>
      <c r="H356" s="2" t="str">
        <f t="shared" si="11"/>
        <v>Positive</v>
      </c>
    </row>
    <row r="357" spans="1:8" x14ac:dyDescent="0.25">
      <c r="A357" s="2" t="s">
        <v>358</v>
      </c>
      <c r="B357" s="2" t="s">
        <v>502</v>
      </c>
      <c r="C357" s="2" t="s">
        <v>508</v>
      </c>
      <c r="D357" s="2">
        <v>2</v>
      </c>
      <c r="E357" s="2" t="s">
        <v>519</v>
      </c>
      <c r="F357" s="3">
        <v>45599.266031135063</v>
      </c>
      <c r="G357" s="2" t="str">
        <f t="shared" si="10"/>
        <v>Nov-2024</v>
      </c>
      <c r="H357" s="2" t="str">
        <f t="shared" si="11"/>
        <v>Negative</v>
      </c>
    </row>
    <row r="358" spans="1:8" x14ac:dyDescent="0.25">
      <c r="A358" s="2" t="s">
        <v>359</v>
      </c>
      <c r="B358" s="2" t="s">
        <v>497</v>
      </c>
      <c r="C358" s="2" t="s">
        <v>509</v>
      </c>
      <c r="D358" s="2">
        <v>4</v>
      </c>
      <c r="E358" s="2" t="s">
        <v>517</v>
      </c>
      <c r="F358" s="3">
        <v>45522.266031135106</v>
      </c>
      <c r="G358" s="2" t="str">
        <f t="shared" si="10"/>
        <v>Aug-2024</v>
      </c>
      <c r="H358" s="2" t="str">
        <f t="shared" si="11"/>
        <v>Positive</v>
      </c>
    </row>
    <row r="359" spans="1:8" x14ac:dyDescent="0.25">
      <c r="A359" s="2" t="s">
        <v>360</v>
      </c>
      <c r="B359" s="2" t="s">
        <v>496</v>
      </c>
      <c r="C359" s="2" t="s">
        <v>512</v>
      </c>
      <c r="D359" s="2">
        <v>4</v>
      </c>
      <c r="E359" s="2" t="s">
        <v>514</v>
      </c>
      <c r="F359" s="3">
        <v>45625.266031135143</v>
      </c>
      <c r="G359" s="2" t="str">
        <f t="shared" si="10"/>
        <v>Nov-2024</v>
      </c>
      <c r="H359" s="2" t="str">
        <f t="shared" si="11"/>
        <v>Positive</v>
      </c>
    </row>
    <row r="360" spans="1:8" x14ac:dyDescent="0.25">
      <c r="A360" s="2" t="s">
        <v>361</v>
      </c>
      <c r="B360" s="2" t="s">
        <v>495</v>
      </c>
      <c r="C360" s="2" t="s">
        <v>511</v>
      </c>
      <c r="D360" s="2">
        <v>3</v>
      </c>
      <c r="E360" s="2" t="s">
        <v>516</v>
      </c>
      <c r="F360" s="3">
        <v>45774.266031135172</v>
      </c>
      <c r="G360" s="2" t="str">
        <f t="shared" si="10"/>
        <v>Apr-2025</v>
      </c>
      <c r="H360" s="2" t="str">
        <f t="shared" si="11"/>
        <v>Neutral</v>
      </c>
    </row>
    <row r="361" spans="1:8" x14ac:dyDescent="0.25">
      <c r="A361" s="2" t="s">
        <v>362</v>
      </c>
      <c r="B361" s="2" t="s">
        <v>500</v>
      </c>
      <c r="C361" s="2" t="s">
        <v>503</v>
      </c>
      <c r="D361" s="2">
        <v>4</v>
      </c>
      <c r="E361" s="2" t="s">
        <v>521</v>
      </c>
      <c r="F361" s="3">
        <v>45882.266031135208</v>
      </c>
      <c r="G361" s="2" t="str">
        <f t="shared" si="10"/>
        <v>Aug-2025</v>
      </c>
      <c r="H361" s="2" t="str">
        <f t="shared" si="11"/>
        <v>Positive</v>
      </c>
    </row>
    <row r="362" spans="1:8" x14ac:dyDescent="0.25">
      <c r="A362" s="2" t="s">
        <v>363</v>
      </c>
      <c r="B362" s="2" t="s">
        <v>499</v>
      </c>
      <c r="C362" s="2" t="s">
        <v>512</v>
      </c>
      <c r="D362" s="2">
        <v>5</v>
      </c>
      <c r="E362" s="2" t="s">
        <v>521</v>
      </c>
      <c r="F362" s="3">
        <v>45565.266031135252</v>
      </c>
      <c r="G362" s="2" t="str">
        <f t="shared" si="10"/>
        <v>Sep-2024</v>
      </c>
      <c r="H362" s="2" t="str">
        <f t="shared" si="11"/>
        <v>Positive</v>
      </c>
    </row>
    <row r="363" spans="1:8" x14ac:dyDescent="0.25">
      <c r="A363" s="2" t="s">
        <v>264</v>
      </c>
      <c r="B363" s="2" t="s">
        <v>500</v>
      </c>
      <c r="C363" s="2" t="s">
        <v>503</v>
      </c>
      <c r="D363" s="2">
        <v>4</v>
      </c>
      <c r="E363" s="2" t="s">
        <v>515</v>
      </c>
      <c r="F363" s="3">
        <v>45771.266031135303</v>
      </c>
      <c r="G363" s="2" t="str">
        <f t="shared" si="10"/>
        <v>Apr-2025</v>
      </c>
      <c r="H363" s="2" t="str">
        <f t="shared" si="11"/>
        <v>Positive</v>
      </c>
    </row>
    <row r="364" spans="1:8" x14ac:dyDescent="0.25">
      <c r="A364" s="2" t="s">
        <v>364</v>
      </c>
      <c r="B364" s="2" t="s">
        <v>502</v>
      </c>
      <c r="C364" s="2" t="s">
        <v>507</v>
      </c>
      <c r="D364" s="2">
        <v>5</v>
      </c>
      <c r="E364" s="2" t="s">
        <v>517</v>
      </c>
      <c r="F364" s="3">
        <v>45549.266031135332</v>
      </c>
      <c r="G364" s="2" t="str">
        <f t="shared" si="10"/>
        <v>Sep-2024</v>
      </c>
      <c r="H364" s="2" t="str">
        <f t="shared" si="11"/>
        <v>Positive</v>
      </c>
    </row>
    <row r="365" spans="1:8" x14ac:dyDescent="0.25">
      <c r="A365" s="2" t="s">
        <v>365</v>
      </c>
      <c r="B365" s="2" t="s">
        <v>496</v>
      </c>
      <c r="C365" s="2" t="s">
        <v>510</v>
      </c>
      <c r="D365" s="2">
        <v>4</v>
      </c>
      <c r="E365" s="2" t="s">
        <v>520</v>
      </c>
      <c r="F365" s="3">
        <v>45874.266031135368</v>
      </c>
      <c r="G365" s="2" t="str">
        <f t="shared" si="10"/>
        <v>Aug-2025</v>
      </c>
      <c r="H365" s="2" t="str">
        <f t="shared" si="11"/>
        <v>Positive</v>
      </c>
    </row>
    <row r="366" spans="1:8" x14ac:dyDescent="0.25">
      <c r="A366" s="2" t="s">
        <v>366</v>
      </c>
      <c r="B366" s="2" t="s">
        <v>495</v>
      </c>
      <c r="C366" s="2" t="s">
        <v>509</v>
      </c>
      <c r="D366" s="2">
        <v>5</v>
      </c>
      <c r="E366" s="2" t="s">
        <v>514</v>
      </c>
      <c r="F366" s="3">
        <v>45813.266031135397</v>
      </c>
      <c r="G366" s="2" t="str">
        <f t="shared" si="10"/>
        <v>Jun-2025</v>
      </c>
      <c r="H366" s="2" t="str">
        <f t="shared" si="11"/>
        <v>Positive</v>
      </c>
    </row>
    <row r="367" spans="1:8" x14ac:dyDescent="0.25">
      <c r="A367" s="2" t="s">
        <v>367</v>
      </c>
      <c r="B367" s="2" t="s">
        <v>494</v>
      </c>
      <c r="C367" s="2" t="s">
        <v>508</v>
      </c>
      <c r="D367" s="2">
        <v>2</v>
      </c>
      <c r="E367" s="2" t="s">
        <v>518</v>
      </c>
      <c r="F367" s="3">
        <v>45572.266031135448</v>
      </c>
      <c r="G367" s="2" t="str">
        <f t="shared" si="10"/>
        <v>Oct-2024</v>
      </c>
      <c r="H367" s="2" t="str">
        <f t="shared" si="11"/>
        <v>Negative</v>
      </c>
    </row>
    <row r="368" spans="1:8" x14ac:dyDescent="0.25">
      <c r="A368" s="2" t="s">
        <v>368</v>
      </c>
      <c r="B368" s="2" t="s">
        <v>496</v>
      </c>
      <c r="C368" s="2" t="s">
        <v>510</v>
      </c>
      <c r="D368" s="2">
        <v>4</v>
      </c>
      <c r="E368" s="2" t="s">
        <v>515</v>
      </c>
      <c r="F368" s="3">
        <v>45642.266031135478</v>
      </c>
      <c r="G368" s="2" t="str">
        <f t="shared" si="10"/>
        <v>Dec-2024</v>
      </c>
      <c r="H368" s="2" t="str">
        <f t="shared" si="11"/>
        <v>Positive</v>
      </c>
    </row>
    <row r="369" spans="1:8" x14ac:dyDescent="0.25">
      <c r="A369" s="2" t="s">
        <v>369</v>
      </c>
      <c r="B369" s="2" t="s">
        <v>498</v>
      </c>
      <c r="C369" s="2" t="s">
        <v>512</v>
      </c>
      <c r="D369" s="2">
        <v>1</v>
      </c>
      <c r="E369" s="2" t="s">
        <v>517</v>
      </c>
      <c r="F369" s="3">
        <v>45652.266031135521</v>
      </c>
      <c r="G369" s="2" t="str">
        <f t="shared" si="10"/>
        <v>Dec-2024</v>
      </c>
      <c r="H369" s="2" t="str">
        <f t="shared" si="11"/>
        <v>Negative</v>
      </c>
    </row>
    <row r="370" spans="1:8" x14ac:dyDescent="0.25">
      <c r="A370" s="2" t="s">
        <v>370</v>
      </c>
      <c r="B370" s="2" t="s">
        <v>493</v>
      </c>
      <c r="C370" s="2" t="s">
        <v>507</v>
      </c>
      <c r="D370" s="2">
        <v>5</v>
      </c>
      <c r="E370" s="2" t="s">
        <v>519</v>
      </c>
      <c r="F370" s="3">
        <v>45642.266031135558</v>
      </c>
      <c r="G370" s="2" t="str">
        <f t="shared" si="10"/>
        <v>Dec-2024</v>
      </c>
      <c r="H370" s="2" t="str">
        <f t="shared" si="11"/>
        <v>Positive</v>
      </c>
    </row>
    <row r="371" spans="1:8" x14ac:dyDescent="0.25">
      <c r="A371" s="2" t="s">
        <v>371</v>
      </c>
      <c r="B371" s="2" t="s">
        <v>493</v>
      </c>
      <c r="C371" s="2" t="s">
        <v>512</v>
      </c>
      <c r="D371" s="2">
        <v>4</v>
      </c>
      <c r="E371" s="2" t="s">
        <v>516</v>
      </c>
      <c r="F371" s="3">
        <v>45564.266031135601</v>
      </c>
      <c r="G371" s="2" t="str">
        <f t="shared" si="10"/>
        <v>Sep-2024</v>
      </c>
      <c r="H371" s="2" t="str">
        <f t="shared" si="11"/>
        <v>Positive</v>
      </c>
    </row>
    <row r="372" spans="1:8" x14ac:dyDescent="0.25">
      <c r="A372" s="2" t="s">
        <v>271</v>
      </c>
      <c r="B372" s="2" t="s">
        <v>496</v>
      </c>
      <c r="C372" s="2" t="s">
        <v>512</v>
      </c>
      <c r="D372" s="2">
        <v>1</v>
      </c>
      <c r="E372" s="2" t="s">
        <v>517</v>
      </c>
      <c r="F372" s="3">
        <v>45716.266031135638</v>
      </c>
      <c r="G372" s="2" t="str">
        <f t="shared" si="10"/>
        <v>Feb-2025</v>
      </c>
      <c r="H372" s="2" t="str">
        <f t="shared" si="11"/>
        <v>Negative</v>
      </c>
    </row>
    <row r="373" spans="1:8" x14ac:dyDescent="0.25">
      <c r="A373" s="2" t="s">
        <v>372</v>
      </c>
      <c r="B373" s="2" t="s">
        <v>494</v>
      </c>
      <c r="C373" s="2" t="s">
        <v>510</v>
      </c>
      <c r="D373" s="2">
        <v>5</v>
      </c>
      <c r="E373" s="2" t="s">
        <v>516</v>
      </c>
      <c r="F373" s="3">
        <v>45846.266031135667</v>
      </c>
      <c r="G373" s="2" t="str">
        <f t="shared" si="10"/>
        <v>Jul-2025</v>
      </c>
      <c r="H373" s="2" t="str">
        <f t="shared" si="11"/>
        <v>Positive</v>
      </c>
    </row>
    <row r="374" spans="1:8" x14ac:dyDescent="0.25">
      <c r="A374" s="2" t="s">
        <v>373</v>
      </c>
      <c r="B374" s="2" t="s">
        <v>499</v>
      </c>
      <c r="C374" s="2" t="s">
        <v>506</v>
      </c>
      <c r="D374" s="2">
        <v>3</v>
      </c>
      <c r="E374" s="2" t="s">
        <v>521</v>
      </c>
      <c r="F374" s="3">
        <v>45647.266031135703</v>
      </c>
      <c r="G374" s="2" t="str">
        <f t="shared" si="10"/>
        <v>Dec-2024</v>
      </c>
      <c r="H374" s="2" t="str">
        <f t="shared" si="11"/>
        <v>Neutral</v>
      </c>
    </row>
    <row r="375" spans="1:8" x14ac:dyDescent="0.25">
      <c r="A375" s="2" t="s">
        <v>374</v>
      </c>
      <c r="B375" s="2" t="s">
        <v>498</v>
      </c>
      <c r="C375" s="2" t="s">
        <v>510</v>
      </c>
      <c r="D375" s="2">
        <v>3</v>
      </c>
      <c r="E375" s="2" t="s">
        <v>517</v>
      </c>
      <c r="F375" s="3">
        <v>45798.266031135739</v>
      </c>
      <c r="G375" s="2" t="str">
        <f t="shared" si="10"/>
        <v>May-2025</v>
      </c>
      <c r="H375" s="2" t="str">
        <f t="shared" si="11"/>
        <v>Neutral</v>
      </c>
    </row>
    <row r="376" spans="1:8" x14ac:dyDescent="0.25">
      <c r="A376" s="2" t="s">
        <v>375</v>
      </c>
      <c r="B376" s="2" t="s">
        <v>493</v>
      </c>
      <c r="C376" s="2" t="s">
        <v>510</v>
      </c>
      <c r="D376" s="2">
        <v>2</v>
      </c>
      <c r="E376" s="2" t="s">
        <v>515</v>
      </c>
      <c r="F376" s="3">
        <v>45791.26603113579</v>
      </c>
      <c r="G376" s="2" t="str">
        <f t="shared" si="10"/>
        <v>May-2025</v>
      </c>
      <c r="H376" s="2" t="str">
        <f t="shared" si="11"/>
        <v>Negative</v>
      </c>
    </row>
    <row r="377" spans="1:8" x14ac:dyDescent="0.25">
      <c r="A377" s="2" t="s">
        <v>376</v>
      </c>
      <c r="B377" s="2" t="s">
        <v>498</v>
      </c>
      <c r="C377" s="2" t="s">
        <v>506</v>
      </c>
      <c r="D377" s="2">
        <v>5</v>
      </c>
      <c r="E377" s="2" t="s">
        <v>516</v>
      </c>
      <c r="F377" s="3">
        <v>45619.26603113582</v>
      </c>
      <c r="G377" s="2" t="str">
        <f t="shared" si="10"/>
        <v>Nov-2024</v>
      </c>
      <c r="H377" s="2" t="str">
        <f t="shared" si="11"/>
        <v>Positive</v>
      </c>
    </row>
    <row r="378" spans="1:8" x14ac:dyDescent="0.25">
      <c r="A378" s="2" t="s">
        <v>377</v>
      </c>
      <c r="B378" s="2" t="s">
        <v>502</v>
      </c>
      <c r="C378" s="2" t="s">
        <v>508</v>
      </c>
      <c r="D378" s="2">
        <v>3</v>
      </c>
      <c r="E378" s="2" t="s">
        <v>518</v>
      </c>
      <c r="F378" s="3">
        <v>45784.266031135863</v>
      </c>
      <c r="G378" s="2" t="str">
        <f t="shared" si="10"/>
        <v>May-2025</v>
      </c>
      <c r="H378" s="2" t="str">
        <f t="shared" si="11"/>
        <v>Neutral</v>
      </c>
    </row>
    <row r="379" spans="1:8" x14ac:dyDescent="0.25">
      <c r="A379" s="2" t="s">
        <v>378</v>
      </c>
      <c r="B379" s="2" t="s">
        <v>501</v>
      </c>
      <c r="C379" s="2" t="s">
        <v>504</v>
      </c>
      <c r="D379" s="2">
        <v>3</v>
      </c>
      <c r="E379" s="2" t="s">
        <v>521</v>
      </c>
      <c r="F379" s="3">
        <v>45652.2660311359</v>
      </c>
      <c r="G379" s="2" t="str">
        <f t="shared" si="10"/>
        <v>Dec-2024</v>
      </c>
      <c r="H379" s="2" t="str">
        <f t="shared" si="11"/>
        <v>Neutral</v>
      </c>
    </row>
    <row r="380" spans="1:8" x14ac:dyDescent="0.25">
      <c r="A380" s="2" t="s">
        <v>379</v>
      </c>
      <c r="B380" s="2" t="s">
        <v>500</v>
      </c>
      <c r="C380" s="2" t="s">
        <v>504</v>
      </c>
      <c r="D380" s="2">
        <v>4</v>
      </c>
      <c r="E380" s="2" t="s">
        <v>517</v>
      </c>
      <c r="F380" s="3">
        <v>45539.266031135943</v>
      </c>
      <c r="G380" s="2" t="str">
        <f t="shared" si="10"/>
        <v>Sep-2024</v>
      </c>
      <c r="H380" s="2" t="str">
        <f t="shared" si="11"/>
        <v>Positive</v>
      </c>
    </row>
    <row r="381" spans="1:8" x14ac:dyDescent="0.25">
      <c r="A381" s="2" t="s">
        <v>303</v>
      </c>
      <c r="B381" s="2" t="s">
        <v>495</v>
      </c>
      <c r="C381" s="2" t="s">
        <v>511</v>
      </c>
      <c r="D381" s="2">
        <v>4</v>
      </c>
      <c r="E381" s="2" t="s">
        <v>517</v>
      </c>
      <c r="F381" s="3">
        <v>45735.266031135972</v>
      </c>
      <c r="G381" s="2" t="str">
        <f t="shared" si="10"/>
        <v>Mar-2025</v>
      </c>
      <c r="H381" s="2" t="str">
        <f t="shared" si="11"/>
        <v>Positive</v>
      </c>
    </row>
    <row r="382" spans="1:8" x14ac:dyDescent="0.25">
      <c r="A382" s="2" t="s">
        <v>380</v>
      </c>
      <c r="B382" s="2" t="s">
        <v>495</v>
      </c>
      <c r="C382" s="2" t="s">
        <v>508</v>
      </c>
      <c r="D382" s="2">
        <v>5</v>
      </c>
      <c r="E382" s="2" t="s">
        <v>521</v>
      </c>
      <c r="F382" s="3">
        <v>45780.266031136009</v>
      </c>
      <c r="G382" s="2" t="str">
        <f t="shared" si="10"/>
        <v>May-2025</v>
      </c>
      <c r="H382" s="2" t="str">
        <f t="shared" si="11"/>
        <v>Positive</v>
      </c>
    </row>
    <row r="383" spans="1:8" x14ac:dyDescent="0.25">
      <c r="A383" s="2" t="s">
        <v>254</v>
      </c>
      <c r="B383" s="2" t="s">
        <v>498</v>
      </c>
      <c r="C383" s="2" t="s">
        <v>511</v>
      </c>
      <c r="D383" s="2">
        <v>5</v>
      </c>
      <c r="E383" s="2" t="s">
        <v>519</v>
      </c>
      <c r="F383" s="3">
        <v>45635.266031136052</v>
      </c>
      <c r="G383" s="2" t="str">
        <f t="shared" si="10"/>
        <v>Dec-2024</v>
      </c>
      <c r="H383" s="2" t="str">
        <f t="shared" si="11"/>
        <v>Positive</v>
      </c>
    </row>
    <row r="384" spans="1:8" x14ac:dyDescent="0.25">
      <c r="A384" s="2" t="s">
        <v>381</v>
      </c>
      <c r="B384" s="2" t="s">
        <v>498</v>
      </c>
      <c r="C384" s="2" t="s">
        <v>510</v>
      </c>
      <c r="D384" s="2">
        <v>4</v>
      </c>
      <c r="E384" s="2" t="s">
        <v>522</v>
      </c>
      <c r="F384" s="3">
        <v>45813.266031136089</v>
      </c>
      <c r="G384" s="2" t="str">
        <f t="shared" si="10"/>
        <v>Jun-2025</v>
      </c>
      <c r="H384" s="2" t="str">
        <f t="shared" si="11"/>
        <v>Positive</v>
      </c>
    </row>
    <row r="385" spans="1:8" x14ac:dyDescent="0.25">
      <c r="A385" s="2" t="s">
        <v>382</v>
      </c>
      <c r="B385" s="2" t="s">
        <v>496</v>
      </c>
      <c r="C385" s="2" t="s">
        <v>505</v>
      </c>
      <c r="D385" s="2">
        <v>5</v>
      </c>
      <c r="E385" s="2" t="s">
        <v>514</v>
      </c>
      <c r="F385" s="3">
        <v>45802.266031136132</v>
      </c>
      <c r="G385" s="2" t="str">
        <f t="shared" si="10"/>
        <v>May-2025</v>
      </c>
      <c r="H385" s="2" t="str">
        <f t="shared" si="11"/>
        <v>Positive</v>
      </c>
    </row>
    <row r="386" spans="1:8" x14ac:dyDescent="0.25">
      <c r="A386" s="2" t="s">
        <v>383</v>
      </c>
      <c r="B386" s="2" t="s">
        <v>499</v>
      </c>
      <c r="C386" s="2" t="s">
        <v>503</v>
      </c>
      <c r="D386" s="2">
        <v>5</v>
      </c>
      <c r="E386" s="2" t="s">
        <v>520</v>
      </c>
      <c r="F386" s="3">
        <v>45585.266031136147</v>
      </c>
      <c r="G386" s="2" t="str">
        <f t="shared" ref="G386:G449" si="12">TEXT(F386,"mmm-yyyy")</f>
        <v>Oct-2024</v>
      </c>
      <c r="H386" s="2" t="str">
        <f t="shared" ref="H386:H449" si="13">IF(D386&gt;=4,"Positive",IF(D386=3,"Neutral","Negative"))</f>
        <v>Positive</v>
      </c>
    </row>
    <row r="387" spans="1:8" x14ac:dyDescent="0.25">
      <c r="A387" s="2" t="s">
        <v>384</v>
      </c>
      <c r="B387" s="2" t="s">
        <v>499</v>
      </c>
      <c r="C387" s="2" t="s">
        <v>503</v>
      </c>
      <c r="D387" s="2">
        <v>1</v>
      </c>
      <c r="E387" s="2" t="s">
        <v>514</v>
      </c>
      <c r="F387" s="3">
        <v>45668.266031136191</v>
      </c>
      <c r="G387" s="2" t="str">
        <f t="shared" si="12"/>
        <v>Jan-2025</v>
      </c>
      <c r="H387" s="2" t="str">
        <f t="shared" si="13"/>
        <v>Negative</v>
      </c>
    </row>
    <row r="388" spans="1:8" x14ac:dyDescent="0.25">
      <c r="A388" s="2" t="s">
        <v>385</v>
      </c>
      <c r="B388" s="2" t="s">
        <v>499</v>
      </c>
      <c r="C388" s="2" t="s">
        <v>503</v>
      </c>
      <c r="D388" s="2">
        <v>2</v>
      </c>
      <c r="E388" s="2" t="s">
        <v>515</v>
      </c>
      <c r="F388" s="3">
        <v>45525.266031136242</v>
      </c>
      <c r="G388" s="2" t="str">
        <f t="shared" si="12"/>
        <v>Aug-2024</v>
      </c>
      <c r="H388" s="2" t="str">
        <f t="shared" si="13"/>
        <v>Negative</v>
      </c>
    </row>
    <row r="389" spans="1:8" x14ac:dyDescent="0.25">
      <c r="A389" s="2" t="s">
        <v>386</v>
      </c>
      <c r="B389" s="2" t="s">
        <v>500</v>
      </c>
      <c r="C389" s="2" t="s">
        <v>509</v>
      </c>
      <c r="D389" s="2">
        <v>2</v>
      </c>
      <c r="E389" s="2" t="s">
        <v>518</v>
      </c>
      <c r="F389" s="3">
        <v>45554.266031136271</v>
      </c>
      <c r="G389" s="2" t="str">
        <f t="shared" si="12"/>
        <v>Sep-2024</v>
      </c>
      <c r="H389" s="2" t="str">
        <f t="shared" si="13"/>
        <v>Negative</v>
      </c>
    </row>
    <row r="390" spans="1:8" x14ac:dyDescent="0.25">
      <c r="A390" s="2" t="s">
        <v>387</v>
      </c>
      <c r="B390" s="2" t="s">
        <v>500</v>
      </c>
      <c r="C390" s="2" t="s">
        <v>505</v>
      </c>
      <c r="D390" s="2">
        <v>3</v>
      </c>
      <c r="E390" s="2" t="s">
        <v>518</v>
      </c>
      <c r="F390" s="3">
        <v>45790.266031136307</v>
      </c>
      <c r="G390" s="2" t="str">
        <f t="shared" si="12"/>
        <v>May-2025</v>
      </c>
      <c r="H390" s="2" t="str">
        <f t="shared" si="13"/>
        <v>Neutral</v>
      </c>
    </row>
    <row r="391" spans="1:8" x14ac:dyDescent="0.25">
      <c r="A391" s="2" t="s">
        <v>388</v>
      </c>
      <c r="B391" s="2" t="s">
        <v>499</v>
      </c>
      <c r="C391" s="2" t="s">
        <v>507</v>
      </c>
      <c r="D391" s="2">
        <v>2</v>
      </c>
      <c r="E391" s="2" t="s">
        <v>515</v>
      </c>
      <c r="F391" s="3">
        <v>45766.266031136351</v>
      </c>
      <c r="G391" s="2" t="str">
        <f t="shared" si="12"/>
        <v>Apr-2025</v>
      </c>
      <c r="H391" s="2" t="str">
        <f t="shared" si="13"/>
        <v>Negative</v>
      </c>
    </row>
    <row r="392" spans="1:8" x14ac:dyDescent="0.25">
      <c r="A392" s="2" t="s">
        <v>389</v>
      </c>
      <c r="B392" s="2" t="s">
        <v>496</v>
      </c>
      <c r="C392" s="2" t="s">
        <v>504</v>
      </c>
      <c r="D392" s="2">
        <v>1</v>
      </c>
      <c r="E392" s="2" t="s">
        <v>521</v>
      </c>
      <c r="F392" s="3">
        <v>45613.266031136387</v>
      </c>
      <c r="G392" s="2" t="str">
        <f t="shared" si="12"/>
        <v>Nov-2024</v>
      </c>
      <c r="H392" s="2" t="str">
        <f t="shared" si="13"/>
        <v>Negative</v>
      </c>
    </row>
    <row r="393" spans="1:8" x14ac:dyDescent="0.25">
      <c r="A393" s="2" t="s">
        <v>390</v>
      </c>
      <c r="B393" s="2" t="s">
        <v>493</v>
      </c>
      <c r="C393" s="2" t="s">
        <v>506</v>
      </c>
      <c r="D393" s="2">
        <v>2</v>
      </c>
      <c r="E393" s="2" t="s">
        <v>517</v>
      </c>
      <c r="F393" s="3">
        <v>45655.266031136423</v>
      </c>
      <c r="G393" s="2" t="str">
        <f t="shared" si="12"/>
        <v>Dec-2024</v>
      </c>
      <c r="H393" s="2" t="str">
        <f t="shared" si="13"/>
        <v>Negative</v>
      </c>
    </row>
    <row r="394" spans="1:8" x14ac:dyDescent="0.25">
      <c r="A394" s="2" t="s">
        <v>391</v>
      </c>
      <c r="B394" s="2" t="s">
        <v>499</v>
      </c>
      <c r="C394" s="2" t="s">
        <v>510</v>
      </c>
      <c r="D394" s="2">
        <v>2</v>
      </c>
      <c r="E394" s="2" t="s">
        <v>519</v>
      </c>
      <c r="F394" s="3">
        <v>45550.266031136467</v>
      </c>
      <c r="G394" s="2" t="str">
        <f t="shared" si="12"/>
        <v>Sep-2024</v>
      </c>
      <c r="H394" s="2" t="str">
        <f t="shared" si="13"/>
        <v>Negative</v>
      </c>
    </row>
    <row r="395" spans="1:8" x14ac:dyDescent="0.25">
      <c r="A395" s="2" t="s">
        <v>392</v>
      </c>
      <c r="B395" s="2" t="s">
        <v>494</v>
      </c>
      <c r="C395" s="2" t="s">
        <v>510</v>
      </c>
      <c r="D395" s="2">
        <v>5</v>
      </c>
      <c r="E395" s="2" t="s">
        <v>521</v>
      </c>
      <c r="F395" s="3">
        <v>45743.266031136503</v>
      </c>
      <c r="G395" s="2" t="str">
        <f t="shared" si="12"/>
        <v>Mar-2025</v>
      </c>
      <c r="H395" s="2" t="str">
        <f t="shared" si="13"/>
        <v>Positive</v>
      </c>
    </row>
    <row r="396" spans="1:8" x14ac:dyDescent="0.25">
      <c r="A396" s="2" t="s">
        <v>393</v>
      </c>
      <c r="B396" s="2" t="s">
        <v>500</v>
      </c>
      <c r="C396" s="2" t="s">
        <v>510</v>
      </c>
      <c r="D396" s="2">
        <v>1</v>
      </c>
      <c r="E396" s="2" t="s">
        <v>518</v>
      </c>
      <c r="F396" s="3">
        <v>45757.26603113654</v>
      </c>
      <c r="G396" s="2" t="str">
        <f t="shared" si="12"/>
        <v>Apr-2025</v>
      </c>
      <c r="H396" s="2" t="str">
        <f t="shared" si="13"/>
        <v>Negative</v>
      </c>
    </row>
    <row r="397" spans="1:8" x14ac:dyDescent="0.25">
      <c r="A397" s="2" t="s">
        <v>394</v>
      </c>
      <c r="B397" s="2" t="s">
        <v>494</v>
      </c>
      <c r="C397" s="2" t="s">
        <v>503</v>
      </c>
      <c r="D397" s="2">
        <v>3</v>
      </c>
      <c r="E397" s="2" t="s">
        <v>517</v>
      </c>
      <c r="F397" s="3">
        <v>45553.266031136583</v>
      </c>
      <c r="G397" s="2" t="str">
        <f t="shared" si="12"/>
        <v>Sep-2024</v>
      </c>
      <c r="H397" s="2" t="str">
        <f t="shared" si="13"/>
        <v>Neutral</v>
      </c>
    </row>
    <row r="398" spans="1:8" x14ac:dyDescent="0.25">
      <c r="A398" s="2" t="s">
        <v>395</v>
      </c>
      <c r="B398" s="2" t="s">
        <v>498</v>
      </c>
      <c r="C398" s="2" t="s">
        <v>505</v>
      </c>
      <c r="D398" s="2">
        <v>3</v>
      </c>
      <c r="E398" s="2" t="s">
        <v>520</v>
      </c>
      <c r="F398" s="3">
        <v>45595.26603113662</v>
      </c>
      <c r="G398" s="2" t="str">
        <f t="shared" si="12"/>
        <v>Oct-2024</v>
      </c>
      <c r="H398" s="2" t="str">
        <f t="shared" si="13"/>
        <v>Neutral</v>
      </c>
    </row>
    <row r="399" spans="1:8" x14ac:dyDescent="0.25">
      <c r="A399" s="2" t="s">
        <v>113</v>
      </c>
      <c r="B399" s="2" t="s">
        <v>495</v>
      </c>
      <c r="C399" s="2" t="s">
        <v>511</v>
      </c>
      <c r="D399" s="2">
        <v>2</v>
      </c>
      <c r="E399" s="2" t="s">
        <v>521</v>
      </c>
      <c r="F399" s="3">
        <v>45848.266031136664</v>
      </c>
      <c r="G399" s="2" t="str">
        <f t="shared" si="12"/>
        <v>Jul-2025</v>
      </c>
      <c r="H399" s="2" t="str">
        <f t="shared" si="13"/>
        <v>Negative</v>
      </c>
    </row>
    <row r="400" spans="1:8" x14ac:dyDescent="0.25">
      <c r="A400" s="2" t="s">
        <v>25</v>
      </c>
      <c r="B400" s="2" t="s">
        <v>497</v>
      </c>
      <c r="C400" s="2" t="s">
        <v>512</v>
      </c>
      <c r="D400" s="2">
        <v>5</v>
      </c>
      <c r="E400" s="2" t="s">
        <v>519</v>
      </c>
      <c r="F400" s="3">
        <v>45614.266031136693</v>
      </c>
      <c r="G400" s="2" t="str">
        <f t="shared" si="12"/>
        <v>Nov-2024</v>
      </c>
      <c r="H400" s="2" t="str">
        <f t="shared" si="13"/>
        <v>Positive</v>
      </c>
    </row>
    <row r="401" spans="1:8" x14ac:dyDescent="0.25">
      <c r="A401" s="2" t="s">
        <v>396</v>
      </c>
      <c r="B401" s="2" t="s">
        <v>502</v>
      </c>
      <c r="C401" s="2" t="s">
        <v>503</v>
      </c>
      <c r="D401" s="2">
        <v>2</v>
      </c>
      <c r="E401" s="2" t="s">
        <v>515</v>
      </c>
      <c r="F401" s="3">
        <v>45586.266031136744</v>
      </c>
      <c r="G401" s="2" t="str">
        <f t="shared" si="12"/>
        <v>Oct-2024</v>
      </c>
      <c r="H401" s="2" t="str">
        <f t="shared" si="13"/>
        <v>Negative</v>
      </c>
    </row>
    <row r="402" spans="1:8" x14ac:dyDescent="0.25">
      <c r="A402" s="2" t="s">
        <v>388</v>
      </c>
      <c r="B402" s="2" t="s">
        <v>498</v>
      </c>
      <c r="C402" s="2" t="s">
        <v>511</v>
      </c>
      <c r="D402" s="2">
        <v>1</v>
      </c>
      <c r="E402" s="2" t="s">
        <v>517</v>
      </c>
      <c r="F402" s="3">
        <v>45684.266031136773</v>
      </c>
      <c r="G402" s="2" t="str">
        <f t="shared" si="12"/>
        <v>Jan-2025</v>
      </c>
      <c r="H402" s="2" t="str">
        <f t="shared" si="13"/>
        <v>Negative</v>
      </c>
    </row>
    <row r="403" spans="1:8" x14ac:dyDescent="0.25">
      <c r="A403" s="2" t="s">
        <v>397</v>
      </c>
      <c r="B403" s="2" t="s">
        <v>494</v>
      </c>
      <c r="C403" s="2" t="s">
        <v>510</v>
      </c>
      <c r="D403" s="2">
        <v>3</v>
      </c>
      <c r="E403" s="2" t="s">
        <v>518</v>
      </c>
      <c r="F403" s="3">
        <v>45772.266031136824</v>
      </c>
      <c r="G403" s="2" t="str">
        <f t="shared" si="12"/>
        <v>Apr-2025</v>
      </c>
      <c r="H403" s="2" t="str">
        <f t="shared" si="13"/>
        <v>Neutral</v>
      </c>
    </row>
    <row r="404" spans="1:8" x14ac:dyDescent="0.25">
      <c r="A404" s="2" t="s">
        <v>398</v>
      </c>
      <c r="B404" s="2" t="s">
        <v>501</v>
      </c>
      <c r="C404" s="2" t="s">
        <v>508</v>
      </c>
      <c r="D404" s="2">
        <v>2</v>
      </c>
      <c r="E404" s="2" t="s">
        <v>516</v>
      </c>
      <c r="F404" s="3">
        <v>45752.266031136853</v>
      </c>
      <c r="G404" s="2" t="str">
        <f t="shared" si="12"/>
        <v>Apr-2025</v>
      </c>
      <c r="H404" s="2" t="str">
        <f t="shared" si="13"/>
        <v>Negative</v>
      </c>
    </row>
    <row r="405" spans="1:8" x14ac:dyDescent="0.25">
      <c r="A405" s="2" t="s">
        <v>399</v>
      </c>
      <c r="B405" s="2" t="s">
        <v>500</v>
      </c>
      <c r="C405" s="2" t="s">
        <v>505</v>
      </c>
      <c r="D405" s="2">
        <v>3</v>
      </c>
      <c r="E405" s="2" t="s">
        <v>515</v>
      </c>
      <c r="F405" s="3">
        <v>45637.266031136889</v>
      </c>
      <c r="G405" s="2" t="str">
        <f t="shared" si="12"/>
        <v>Dec-2024</v>
      </c>
      <c r="H405" s="2" t="str">
        <f t="shared" si="13"/>
        <v>Neutral</v>
      </c>
    </row>
    <row r="406" spans="1:8" x14ac:dyDescent="0.25">
      <c r="A406" s="2" t="s">
        <v>400</v>
      </c>
      <c r="B406" s="2" t="s">
        <v>500</v>
      </c>
      <c r="C406" s="2" t="s">
        <v>507</v>
      </c>
      <c r="D406" s="2">
        <v>1</v>
      </c>
      <c r="E406" s="2" t="s">
        <v>513</v>
      </c>
      <c r="F406" s="3">
        <v>45812.266031136918</v>
      </c>
      <c r="G406" s="2" t="str">
        <f t="shared" si="12"/>
        <v>Jun-2025</v>
      </c>
      <c r="H406" s="2" t="str">
        <f t="shared" si="13"/>
        <v>Negative</v>
      </c>
    </row>
    <row r="407" spans="1:8" x14ac:dyDescent="0.25">
      <c r="A407" s="2" t="s">
        <v>401</v>
      </c>
      <c r="B407" s="2" t="s">
        <v>499</v>
      </c>
      <c r="C407" s="2" t="s">
        <v>512</v>
      </c>
      <c r="D407" s="2">
        <v>3</v>
      </c>
      <c r="E407" s="2" t="s">
        <v>519</v>
      </c>
      <c r="F407" s="3">
        <v>45809.266031136969</v>
      </c>
      <c r="G407" s="2" t="str">
        <f t="shared" si="12"/>
        <v>Jun-2025</v>
      </c>
      <c r="H407" s="2" t="str">
        <f t="shared" si="13"/>
        <v>Neutral</v>
      </c>
    </row>
    <row r="408" spans="1:8" x14ac:dyDescent="0.25">
      <c r="A408" s="2" t="s">
        <v>402</v>
      </c>
      <c r="B408" s="2" t="s">
        <v>494</v>
      </c>
      <c r="C408" s="2" t="s">
        <v>508</v>
      </c>
      <c r="D408" s="2">
        <v>1</v>
      </c>
      <c r="E408" s="2" t="s">
        <v>516</v>
      </c>
      <c r="F408" s="3">
        <v>45749.266031137013</v>
      </c>
      <c r="G408" s="2" t="str">
        <f t="shared" si="12"/>
        <v>Apr-2025</v>
      </c>
      <c r="H408" s="2" t="str">
        <f t="shared" si="13"/>
        <v>Negative</v>
      </c>
    </row>
    <row r="409" spans="1:8" x14ac:dyDescent="0.25">
      <c r="A409" s="2" t="s">
        <v>403</v>
      </c>
      <c r="B409" s="2" t="s">
        <v>499</v>
      </c>
      <c r="C409" s="2" t="s">
        <v>509</v>
      </c>
      <c r="D409" s="2">
        <v>4</v>
      </c>
      <c r="E409" s="2" t="s">
        <v>514</v>
      </c>
      <c r="F409" s="3">
        <v>45851.266031137027</v>
      </c>
      <c r="G409" s="2" t="str">
        <f t="shared" si="12"/>
        <v>Jul-2025</v>
      </c>
      <c r="H409" s="2" t="str">
        <f t="shared" si="13"/>
        <v>Positive</v>
      </c>
    </row>
    <row r="410" spans="1:8" x14ac:dyDescent="0.25">
      <c r="A410" s="2" t="s">
        <v>404</v>
      </c>
      <c r="B410" s="2" t="s">
        <v>495</v>
      </c>
      <c r="C410" s="2" t="s">
        <v>510</v>
      </c>
      <c r="D410" s="2">
        <v>2</v>
      </c>
      <c r="E410" s="2" t="s">
        <v>517</v>
      </c>
      <c r="F410" s="3">
        <v>45738.266031137071</v>
      </c>
      <c r="G410" s="2" t="str">
        <f t="shared" si="12"/>
        <v>Mar-2025</v>
      </c>
      <c r="H410" s="2" t="str">
        <f t="shared" si="13"/>
        <v>Negative</v>
      </c>
    </row>
    <row r="411" spans="1:8" x14ac:dyDescent="0.25">
      <c r="A411" s="2" t="s">
        <v>405</v>
      </c>
      <c r="B411" s="2" t="s">
        <v>496</v>
      </c>
      <c r="C411" s="2" t="s">
        <v>505</v>
      </c>
      <c r="D411" s="2">
        <v>2</v>
      </c>
      <c r="E411" s="2" t="s">
        <v>516</v>
      </c>
      <c r="F411" s="3">
        <v>45585.266031137107</v>
      </c>
      <c r="G411" s="2" t="str">
        <f t="shared" si="12"/>
        <v>Oct-2024</v>
      </c>
      <c r="H411" s="2" t="str">
        <f t="shared" si="13"/>
        <v>Negative</v>
      </c>
    </row>
    <row r="412" spans="1:8" x14ac:dyDescent="0.25">
      <c r="A412" s="2" t="s">
        <v>406</v>
      </c>
      <c r="B412" s="2" t="s">
        <v>498</v>
      </c>
      <c r="C412" s="2" t="s">
        <v>508</v>
      </c>
      <c r="D412" s="2">
        <v>4</v>
      </c>
      <c r="E412" s="2" t="s">
        <v>521</v>
      </c>
      <c r="F412" s="3">
        <v>45531.266031137151</v>
      </c>
      <c r="G412" s="2" t="str">
        <f t="shared" si="12"/>
        <v>Aug-2024</v>
      </c>
      <c r="H412" s="2" t="str">
        <f t="shared" si="13"/>
        <v>Positive</v>
      </c>
    </row>
    <row r="413" spans="1:8" x14ac:dyDescent="0.25">
      <c r="A413" s="2" t="s">
        <v>407</v>
      </c>
      <c r="B413" s="2" t="s">
        <v>493</v>
      </c>
      <c r="C413" s="2" t="s">
        <v>509</v>
      </c>
      <c r="D413" s="2">
        <v>2</v>
      </c>
      <c r="E413" s="2" t="s">
        <v>514</v>
      </c>
      <c r="F413" s="3">
        <v>45709.266031137187</v>
      </c>
      <c r="G413" s="2" t="str">
        <f t="shared" si="12"/>
        <v>Feb-2025</v>
      </c>
      <c r="H413" s="2" t="str">
        <f t="shared" si="13"/>
        <v>Negative</v>
      </c>
    </row>
    <row r="414" spans="1:8" x14ac:dyDescent="0.25">
      <c r="A414" s="2" t="s">
        <v>289</v>
      </c>
      <c r="B414" s="2" t="s">
        <v>495</v>
      </c>
      <c r="C414" s="2" t="s">
        <v>509</v>
      </c>
      <c r="D414" s="2">
        <v>4</v>
      </c>
      <c r="E414" s="2" t="s">
        <v>517</v>
      </c>
      <c r="F414" s="3">
        <v>45524.266031137216</v>
      </c>
      <c r="G414" s="2" t="str">
        <f t="shared" si="12"/>
        <v>Aug-2024</v>
      </c>
      <c r="H414" s="2" t="str">
        <f t="shared" si="13"/>
        <v>Positive</v>
      </c>
    </row>
    <row r="415" spans="1:8" x14ac:dyDescent="0.25">
      <c r="A415" s="2" t="s">
        <v>408</v>
      </c>
      <c r="B415" s="2" t="s">
        <v>496</v>
      </c>
      <c r="C415" s="2" t="s">
        <v>505</v>
      </c>
      <c r="D415" s="2">
        <v>1</v>
      </c>
      <c r="E415" s="2" t="s">
        <v>521</v>
      </c>
      <c r="F415" s="3">
        <v>45807.26603113726</v>
      </c>
      <c r="G415" s="2" t="str">
        <f t="shared" si="12"/>
        <v>May-2025</v>
      </c>
      <c r="H415" s="2" t="str">
        <f t="shared" si="13"/>
        <v>Negative</v>
      </c>
    </row>
    <row r="416" spans="1:8" x14ac:dyDescent="0.25">
      <c r="A416" s="2" t="s">
        <v>409</v>
      </c>
      <c r="B416" s="2" t="s">
        <v>496</v>
      </c>
      <c r="C416" s="2" t="s">
        <v>504</v>
      </c>
      <c r="D416" s="2">
        <v>3</v>
      </c>
      <c r="E416" s="2" t="s">
        <v>517</v>
      </c>
      <c r="F416" s="3">
        <v>45628.266031137289</v>
      </c>
      <c r="G416" s="2" t="str">
        <f t="shared" si="12"/>
        <v>Dec-2024</v>
      </c>
      <c r="H416" s="2" t="str">
        <f t="shared" si="13"/>
        <v>Neutral</v>
      </c>
    </row>
    <row r="417" spans="1:8" x14ac:dyDescent="0.25">
      <c r="A417" s="2" t="s">
        <v>410</v>
      </c>
      <c r="B417" s="2" t="s">
        <v>500</v>
      </c>
      <c r="C417" s="2" t="s">
        <v>504</v>
      </c>
      <c r="D417" s="2">
        <v>5</v>
      </c>
      <c r="E417" s="2" t="s">
        <v>519</v>
      </c>
      <c r="F417" s="3">
        <v>45603.26603113734</v>
      </c>
      <c r="G417" s="2" t="str">
        <f t="shared" si="12"/>
        <v>Nov-2024</v>
      </c>
      <c r="H417" s="2" t="str">
        <f t="shared" si="13"/>
        <v>Positive</v>
      </c>
    </row>
    <row r="418" spans="1:8" x14ac:dyDescent="0.25">
      <c r="A418" s="2" t="s">
        <v>411</v>
      </c>
      <c r="B418" s="2" t="s">
        <v>496</v>
      </c>
      <c r="C418" s="2" t="s">
        <v>511</v>
      </c>
      <c r="D418" s="2">
        <v>2</v>
      </c>
      <c r="E418" s="2" t="s">
        <v>514</v>
      </c>
      <c r="F418" s="3">
        <v>45757.266031137369</v>
      </c>
      <c r="G418" s="2" t="str">
        <f t="shared" si="12"/>
        <v>Apr-2025</v>
      </c>
      <c r="H418" s="2" t="str">
        <f t="shared" si="13"/>
        <v>Negative</v>
      </c>
    </row>
    <row r="419" spans="1:8" x14ac:dyDescent="0.25">
      <c r="A419" s="2" t="s">
        <v>412</v>
      </c>
      <c r="B419" s="2" t="s">
        <v>496</v>
      </c>
      <c r="C419" s="2" t="s">
        <v>506</v>
      </c>
      <c r="D419" s="2">
        <v>1</v>
      </c>
      <c r="E419" s="2" t="s">
        <v>518</v>
      </c>
      <c r="F419" s="3">
        <v>45569.266031137413</v>
      </c>
      <c r="G419" s="2" t="str">
        <f t="shared" si="12"/>
        <v>Oct-2024</v>
      </c>
      <c r="H419" s="2" t="str">
        <f t="shared" si="13"/>
        <v>Negative</v>
      </c>
    </row>
    <row r="420" spans="1:8" x14ac:dyDescent="0.25">
      <c r="A420" s="2" t="s">
        <v>413</v>
      </c>
      <c r="B420" s="2" t="s">
        <v>498</v>
      </c>
      <c r="C420" s="2" t="s">
        <v>508</v>
      </c>
      <c r="D420" s="2">
        <v>2</v>
      </c>
      <c r="E420" s="2" t="s">
        <v>521</v>
      </c>
      <c r="F420" s="3">
        <v>45838.266031137442</v>
      </c>
      <c r="G420" s="2" t="str">
        <f t="shared" si="12"/>
        <v>Jun-2025</v>
      </c>
      <c r="H420" s="2" t="str">
        <f t="shared" si="13"/>
        <v>Negative</v>
      </c>
    </row>
    <row r="421" spans="1:8" x14ac:dyDescent="0.25">
      <c r="A421" s="2" t="s">
        <v>414</v>
      </c>
      <c r="B421" s="2" t="s">
        <v>494</v>
      </c>
      <c r="C421" s="2" t="s">
        <v>510</v>
      </c>
      <c r="D421" s="2">
        <v>5</v>
      </c>
      <c r="E421" s="2" t="s">
        <v>522</v>
      </c>
      <c r="F421" s="3">
        <v>45532.266031137493</v>
      </c>
      <c r="G421" s="2" t="str">
        <f t="shared" si="12"/>
        <v>Aug-2024</v>
      </c>
      <c r="H421" s="2" t="str">
        <f t="shared" si="13"/>
        <v>Positive</v>
      </c>
    </row>
    <row r="422" spans="1:8" x14ac:dyDescent="0.25">
      <c r="A422" s="2" t="s">
        <v>415</v>
      </c>
      <c r="B422" s="2" t="s">
        <v>500</v>
      </c>
      <c r="C422" s="2" t="s">
        <v>509</v>
      </c>
      <c r="D422" s="2">
        <v>4</v>
      </c>
      <c r="E422" s="2" t="s">
        <v>516</v>
      </c>
      <c r="F422" s="3">
        <v>45728.266031137522</v>
      </c>
      <c r="G422" s="2" t="str">
        <f t="shared" si="12"/>
        <v>Mar-2025</v>
      </c>
      <c r="H422" s="2" t="str">
        <f t="shared" si="13"/>
        <v>Positive</v>
      </c>
    </row>
    <row r="423" spans="1:8" x14ac:dyDescent="0.25">
      <c r="A423" s="2" t="s">
        <v>416</v>
      </c>
      <c r="B423" s="2" t="s">
        <v>494</v>
      </c>
      <c r="C423" s="2" t="s">
        <v>504</v>
      </c>
      <c r="D423" s="2">
        <v>3</v>
      </c>
      <c r="E423" s="2" t="s">
        <v>514</v>
      </c>
      <c r="F423" s="3">
        <v>45644.266031137558</v>
      </c>
      <c r="G423" s="2" t="str">
        <f t="shared" si="12"/>
        <v>Dec-2024</v>
      </c>
      <c r="H423" s="2" t="str">
        <f t="shared" si="13"/>
        <v>Neutral</v>
      </c>
    </row>
    <row r="424" spans="1:8" x14ac:dyDescent="0.25">
      <c r="A424" s="2" t="s">
        <v>417</v>
      </c>
      <c r="B424" s="2" t="s">
        <v>499</v>
      </c>
      <c r="C424" s="2" t="s">
        <v>508</v>
      </c>
      <c r="D424" s="2">
        <v>1</v>
      </c>
      <c r="E424" s="2" t="s">
        <v>518</v>
      </c>
      <c r="F424" s="3">
        <v>45616.266031137588</v>
      </c>
      <c r="G424" s="2" t="str">
        <f t="shared" si="12"/>
        <v>Nov-2024</v>
      </c>
      <c r="H424" s="2" t="str">
        <f t="shared" si="13"/>
        <v>Negative</v>
      </c>
    </row>
    <row r="425" spans="1:8" x14ac:dyDescent="0.25">
      <c r="A425" s="2" t="s">
        <v>418</v>
      </c>
      <c r="B425" s="2" t="s">
        <v>499</v>
      </c>
      <c r="C425" s="2" t="s">
        <v>512</v>
      </c>
      <c r="D425" s="2">
        <v>4</v>
      </c>
      <c r="E425" s="2" t="s">
        <v>514</v>
      </c>
      <c r="F425" s="3">
        <v>45799.266031137617</v>
      </c>
      <c r="G425" s="2" t="str">
        <f t="shared" si="12"/>
        <v>May-2025</v>
      </c>
      <c r="H425" s="2" t="str">
        <f t="shared" si="13"/>
        <v>Positive</v>
      </c>
    </row>
    <row r="426" spans="1:8" x14ac:dyDescent="0.25">
      <c r="A426" s="2" t="s">
        <v>419</v>
      </c>
      <c r="B426" s="2" t="s">
        <v>496</v>
      </c>
      <c r="C426" s="2" t="s">
        <v>509</v>
      </c>
      <c r="D426" s="2">
        <v>3</v>
      </c>
      <c r="E426" s="2" t="s">
        <v>521</v>
      </c>
      <c r="F426" s="3">
        <v>45570.266031137668</v>
      </c>
      <c r="G426" s="2" t="str">
        <f t="shared" si="12"/>
        <v>Oct-2024</v>
      </c>
      <c r="H426" s="2" t="str">
        <f t="shared" si="13"/>
        <v>Neutral</v>
      </c>
    </row>
    <row r="427" spans="1:8" x14ac:dyDescent="0.25">
      <c r="A427" s="2" t="s">
        <v>420</v>
      </c>
      <c r="B427" s="2" t="s">
        <v>498</v>
      </c>
      <c r="C427" s="2" t="s">
        <v>510</v>
      </c>
      <c r="D427" s="2">
        <v>2</v>
      </c>
      <c r="E427" s="2" t="s">
        <v>521</v>
      </c>
      <c r="F427" s="3">
        <v>45709.266031137711</v>
      </c>
      <c r="G427" s="2" t="str">
        <f t="shared" si="12"/>
        <v>Feb-2025</v>
      </c>
      <c r="H427" s="2" t="str">
        <f t="shared" si="13"/>
        <v>Negative</v>
      </c>
    </row>
    <row r="428" spans="1:8" x14ac:dyDescent="0.25">
      <c r="A428" s="2" t="s">
        <v>421</v>
      </c>
      <c r="B428" s="2" t="s">
        <v>501</v>
      </c>
      <c r="C428" s="2" t="s">
        <v>511</v>
      </c>
      <c r="D428" s="2">
        <v>5</v>
      </c>
      <c r="E428" s="2" t="s">
        <v>519</v>
      </c>
      <c r="F428" s="3">
        <v>45616.266031137748</v>
      </c>
      <c r="G428" s="2" t="str">
        <f t="shared" si="12"/>
        <v>Nov-2024</v>
      </c>
      <c r="H428" s="2" t="str">
        <f t="shared" si="13"/>
        <v>Positive</v>
      </c>
    </row>
    <row r="429" spans="1:8" x14ac:dyDescent="0.25">
      <c r="A429" s="2" t="s">
        <v>422</v>
      </c>
      <c r="B429" s="2" t="s">
        <v>497</v>
      </c>
      <c r="C429" s="2" t="s">
        <v>508</v>
      </c>
      <c r="D429" s="2">
        <v>2</v>
      </c>
      <c r="E429" s="2" t="s">
        <v>516</v>
      </c>
      <c r="F429" s="3">
        <v>45534.266031137791</v>
      </c>
      <c r="G429" s="2" t="str">
        <f t="shared" si="12"/>
        <v>Aug-2024</v>
      </c>
      <c r="H429" s="2" t="str">
        <f t="shared" si="13"/>
        <v>Negative</v>
      </c>
    </row>
    <row r="430" spans="1:8" x14ac:dyDescent="0.25">
      <c r="A430" s="2" t="s">
        <v>423</v>
      </c>
      <c r="B430" s="2" t="s">
        <v>497</v>
      </c>
      <c r="C430" s="2" t="s">
        <v>508</v>
      </c>
      <c r="D430" s="2">
        <v>1</v>
      </c>
      <c r="E430" s="2" t="s">
        <v>513</v>
      </c>
      <c r="F430" s="3">
        <v>45630.266031137828</v>
      </c>
      <c r="G430" s="2" t="str">
        <f t="shared" si="12"/>
        <v>Dec-2024</v>
      </c>
      <c r="H430" s="2" t="str">
        <f t="shared" si="13"/>
        <v>Negative</v>
      </c>
    </row>
    <row r="431" spans="1:8" x14ac:dyDescent="0.25">
      <c r="A431" s="2" t="s">
        <v>424</v>
      </c>
      <c r="B431" s="2" t="s">
        <v>496</v>
      </c>
      <c r="C431" s="2" t="s">
        <v>511</v>
      </c>
      <c r="D431" s="2">
        <v>5</v>
      </c>
      <c r="E431" s="2" t="s">
        <v>514</v>
      </c>
      <c r="F431" s="3">
        <v>45656.266031137857</v>
      </c>
      <c r="G431" s="2" t="str">
        <f t="shared" si="12"/>
        <v>Dec-2024</v>
      </c>
      <c r="H431" s="2" t="str">
        <f t="shared" si="13"/>
        <v>Positive</v>
      </c>
    </row>
    <row r="432" spans="1:8" x14ac:dyDescent="0.25">
      <c r="A432" s="2" t="s">
        <v>425</v>
      </c>
      <c r="B432" s="2" t="s">
        <v>494</v>
      </c>
      <c r="C432" s="2" t="s">
        <v>507</v>
      </c>
      <c r="D432" s="2">
        <v>5</v>
      </c>
      <c r="E432" s="2" t="s">
        <v>519</v>
      </c>
      <c r="F432" s="3">
        <v>45522.266031138868</v>
      </c>
      <c r="G432" s="2" t="str">
        <f t="shared" si="12"/>
        <v>Aug-2024</v>
      </c>
      <c r="H432" s="2" t="str">
        <f t="shared" si="13"/>
        <v>Positive</v>
      </c>
    </row>
    <row r="433" spans="1:8" x14ac:dyDescent="0.25">
      <c r="A433" s="2" t="s">
        <v>426</v>
      </c>
      <c r="B433" s="2" t="s">
        <v>493</v>
      </c>
      <c r="C433" s="2" t="s">
        <v>506</v>
      </c>
      <c r="D433" s="2">
        <v>2</v>
      </c>
      <c r="E433" s="2" t="s">
        <v>514</v>
      </c>
      <c r="F433" s="3">
        <v>45607.266031138934</v>
      </c>
      <c r="G433" s="2" t="str">
        <f t="shared" si="12"/>
        <v>Nov-2024</v>
      </c>
      <c r="H433" s="2" t="str">
        <f t="shared" si="13"/>
        <v>Negative</v>
      </c>
    </row>
    <row r="434" spans="1:8" x14ac:dyDescent="0.25">
      <c r="A434" s="2" t="s">
        <v>427</v>
      </c>
      <c r="B434" s="2" t="s">
        <v>493</v>
      </c>
      <c r="C434" s="2" t="s">
        <v>503</v>
      </c>
      <c r="D434" s="2">
        <v>5</v>
      </c>
      <c r="E434" s="2" t="s">
        <v>517</v>
      </c>
      <c r="F434" s="3">
        <v>45807.266031138963</v>
      </c>
      <c r="G434" s="2" t="str">
        <f t="shared" si="12"/>
        <v>May-2025</v>
      </c>
      <c r="H434" s="2" t="str">
        <f t="shared" si="13"/>
        <v>Positive</v>
      </c>
    </row>
    <row r="435" spans="1:8" x14ac:dyDescent="0.25">
      <c r="A435" s="2" t="s">
        <v>428</v>
      </c>
      <c r="B435" s="2" t="s">
        <v>496</v>
      </c>
      <c r="C435" s="2" t="s">
        <v>506</v>
      </c>
      <c r="D435" s="2">
        <v>1</v>
      </c>
      <c r="E435" s="2" t="s">
        <v>521</v>
      </c>
      <c r="F435" s="3">
        <v>45830.266031138992</v>
      </c>
      <c r="G435" s="2" t="str">
        <f t="shared" si="12"/>
        <v>Jun-2025</v>
      </c>
      <c r="H435" s="2" t="str">
        <f t="shared" si="13"/>
        <v>Negative</v>
      </c>
    </row>
    <row r="436" spans="1:8" x14ac:dyDescent="0.25">
      <c r="A436" s="2" t="s">
        <v>429</v>
      </c>
      <c r="B436" s="2" t="s">
        <v>500</v>
      </c>
      <c r="C436" s="2" t="s">
        <v>509</v>
      </c>
      <c r="D436" s="2">
        <v>3</v>
      </c>
      <c r="E436" s="2" t="s">
        <v>513</v>
      </c>
      <c r="F436" s="3">
        <v>45701.266031139108</v>
      </c>
      <c r="G436" s="2" t="str">
        <f t="shared" si="12"/>
        <v>Feb-2025</v>
      </c>
      <c r="H436" s="2" t="str">
        <f t="shared" si="13"/>
        <v>Neutral</v>
      </c>
    </row>
    <row r="437" spans="1:8" x14ac:dyDescent="0.25">
      <c r="A437" s="2" t="s">
        <v>430</v>
      </c>
      <c r="B437" s="2" t="s">
        <v>497</v>
      </c>
      <c r="C437" s="2" t="s">
        <v>509</v>
      </c>
      <c r="D437" s="2">
        <v>3</v>
      </c>
      <c r="E437" s="2" t="s">
        <v>513</v>
      </c>
      <c r="F437" s="3">
        <v>45716.266031139152</v>
      </c>
      <c r="G437" s="2" t="str">
        <f t="shared" si="12"/>
        <v>Feb-2025</v>
      </c>
      <c r="H437" s="2" t="str">
        <f t="shared" si="13"/>
        <v>Neutral</v>
      </c>
    </row>
    <row r="438" spans="1:8" x14ac:dyDescent="0.25">
      <c r="A438" s="2" t="s">
        <v>431</v>
      </c>
      <c r="B438" s="2" t="s">
        <v>495</v>
      </c>
      <c r="C438" s="2" t="s">
        <v>509</v>
      </c>
      <c r="D438" s="2">
        <v>4</v>
      </c>
      <c r="E438" s="2" t="s">
        <v>516</v>
      </c>
      <c r="F438" s="3">
        <v>45798.266031139188</v>
      </c>
      <c r="G438" s="2" t="str">
        <f t="shared" si="12"/>
        <v>May-2025</v>
      </c>
      <c r="H438" s="2" t="str">
        <f t="shared" si="13"/>
        <v>Positive</v>
      </c>
    </row>
    <row r="439" spans="1:8" x14ac:dyDescent="0.25">
      <c r="A439" s="2" t="s">
        <v>432</v>
      </c>
      <c r="B439" s="2" t="s">
        <v>499</v>
      </c>
      <c r="C439" s="2" t="s">
        <v>503</v>
      </c>
      <c r="D439" s="2">
        <v>1</v>
      </c>
      <c r="E439" s="2" t="s">
        <v>514</v>
      </c>
      <c r="F439" s="3">
        <v>45586.266031139239</v>
      </c>
      <c r="G439" s="2" t="str">
        <f t="shared" si="12"/>
        <v>Oct-2024</v>
      </c>
      <c r="H439" s="2" t="str">
        <f t="shared" si="13"/>
        <v>Negative</v>
      </c>
    </row>
    <row r="440" spans="1:8" x14ac:dyDescent="0.25">
      <c r="A440" s="2" t="s">
        <v>433</v>
      </c>
      <c r="B440" s="2" t="s">
        <v>498</v>
      </c>
      <c r="C440" s="2" t="s">
        <v>508</v>
      </c>
      <c r="D440" s="2">
        <v>1</v>
      </c>
      <c r="E440" s="2" t="s">
        <v>519</v>
      </c>
      <c r="F440" s="3">
        <v>45811.266031139268</v>
      </c>
      <c r="G440" s="2" t="str">
        <f t="shared" si="12"/>
        <v>Jun-2025</v>
      </c>
      <c r="H440" s="2" t="str">
        <f t="shared" si="13"/>
        <v>Negative</v>
      </c>
    </row>
    <row r="441" spans="1:8" x14ac:dyDescent="0.25">
      <c r="A441" s="2" t="s">
        <v>434</v>
      </c>
      <c r="B441" s="2" t="s">
        <v>501</v>
      </c>
      <c r="C441" s="2" t="s">
        <v>510</v>
      </c>
      <c r="D441" s="2">
        <v>1</v>
      </c>
      <c r="E441" s="2" t="s">
        <v>518</v>
      </c>
      <c r="F441" s="3">
        <v>45877.266031139297</v>
      </c>
      <c r="G441" s="2" t="str">
        <f t="shared" si="12"/>
        <v>Aug-2025</v>
      </c>
      <c r="H441" s="2" t="str">
        <f t="shared" si="13"/>
        <v>Negative</v>
      </c>
    </row>
    <row r="442" spans="1:8" x14ac:dyDescent="0.25">
      <c r="A442" s="2" t="s">
        <v>435</v>
      </c>
      <c r="B442" s="2" t="s">
        <v>498</v>
      </c>
      <c r="C442" s="2" t="s">
        <v>503</v>
      </c>
      <c r="D442" s="2">
        <v>1</v>
      </c>
      <c r="E442" s="2" t="s">
        <v>516</v>
      </c>
      <c r="F442" s="3">
        <v>45667.266031139348</v>
      </c>
      <c r="G442" s="2" t="str">
        <f t="shared" si="12"/>
        <v>Jan-2025</v>
      </c>
      <c r="H442" s="2" t="str">
        <f t="shared" si="13"/>
        <v>Negative</v>
      </c>
    </row>
    <row r="443" spans="1:8" x14ac:dyDescent="0.25">
      <c r="A443" s="2" t="s">
        <v>436</v>
      </c>
      <c r="B443" s="2" t="s">
        <v>501</v>
      </c>
      <c r="C443" s="2" t="s">
        <v>511</v>
      </c>
      <c r="D443" s="2">
        <v>5</v>
      </c>
      <c r="E443" s="2" t="s">
        <v>515</v>
      </c>
      <c r="F443" s="3">
        <v>45768.266031139377</v>
      </c>
      <c r="G443" s="2" t="str">
        <f t="shared" si="12"/>
        <v>Apr-2025</v>
      </c>
      <c r="H443" s="2" t="str">
        <f t="shared" si="13"/>
        <v>Positive</v>
      </c>
    </row>
    <row r="444" spans="1:8" x14ac:dyDescent="0.25">
      <c r="A444" s="2" t="s">
        <v>437</v>
      </c>
      <c r="B444" s="2" t="s">
        <v>501</v>
      </c>
      <c r="C444" s="2" t="s">
        <v>511</v>
      </c>
      <c r="D444" s="2">
        <v>1</v>
      </c>
      <c r="E444" s="2" t="s">
        <v>519</v>
      </c>
      <c r="F444" s="3">
        <v>45562.266031139421</v>
      </c>
      <c r="G444" s="2" t="str">
        <f t="shared" si="12"/>
        <v>Sep-2024</v>
      </c>
      <c r="H444" s="2" t="str">
        <f t="shared" si="13"/>
        <v>Negative</v>
      </c>
    </row>
    <row r="445" spans="1:8" x14ac:dyDescent="0.25">
      <c r="A445" s="2" t="s">
        <v>438</v>
      </c>
      <c r="B445" s="2" t="s">
        <v>499</v>
      </c>
      <c r="C445" s="2" t="s">
        <v>507</v>
      </c>
      <c r="D445" s="2">
        <v>4</v>
      </c>
      <c r="E445" s="2" t="s">
        <v>518</v>
      </c>
      <c r="F445" s="3">
        <v>45809.266031139457</v>
      </c>
      <c r="G445" s="2" t="str">
        <f t="shared" si="12"/>
        <v>Jun-2025</v>
      </c>
      <c r="H445" s="2" t="str">
        <f t="shared" si="13"/>
        <v>Positive</v>
      </c>
    </row>
    <row r="446" spans="1:8" x14ac:dyDescent="0.25">
      <c r="A446" s="2" t="s">
        <v>439</v>
      </c>
      <c r="B446" s="2" t="s">
        <v>494</v>
      </c>
      <c r="C446" s="2" t="s">
        <v>504</v>
      </c>
      <c r="D446" s="2">
        <v>3</v>
      </c>
      <c r="E446" s="2" t="s">
        <v>515</v>
      </c>
      <c r="F446" s="3">
        <v>45850.266031139487</v>
      </c>
      <c r="G446" s="2" t="str">
        <f t="shared" si="12"/>
        <v>Jul-2025</v>
      </c>
      <c r="H446" s="2" t="str">
        <f t="shared" si="13"/>
        <v>Neutral</v>
      </c>
    </row>
    <row r="447" spans="1:8" x14ac:dyDescent="0.25">
      <c r="A447" s="2" t="s">
        <v>440</v>
      </c>
      <c r="B447" s="2" t="s">
        <v>502</v>
      </c>
      <c r="C447" s="2" t="s">
        <v>504</v>
      </c>
      <c r="D447" s="2">
        <v>3</v>
      </c>
      <c r="E447" s="2" t="s">
        <v>513</v>
      </c>
      <c r="F447" s="3">
        <v>45543.266031139523</v>
      </c>
      <c r="G447" s="2" t="str">
        <f t="shared" si="12"/>
        <v>Sep-2024</v>
      </c>
      <c r="H447" s="2" t="str">
        <f t="shared" si="13"/>
        <v>Neutral</v>
      </c>
    </row>
    <row r="448" spans="1:8" x14ac:dyDescent="0.25">
      <c r="A448" s="2" t="s">
        <v>441</v>
      </c>
      <c r="B448" s="2" t="s">
        <v>495</v>
      </c>
      <c r="C448" s="2" t="s">
        <v>507</v>
      </c>
      <c r="D448" s="2">
        <v>3</v>
      </c>
      <c r="E448" s="2" t="s">
        <v>521</v>
      </c>
      <c r="F448" s="3">
        <v>45763.266031139567</v>
      </c>
      <c r="G448" s="2" t="str">
        <f t="shared" si="12"/>
        <v>Apr-2025</v>
      </c>
      <c r="H448" s="2" t="str">
        <f t="shared" si="13"/>
        <v>Neutral</v>
      </c>
    </row>
    <row r="449" spans="1:8" x14ac:dyDescent="0.25">
      <c r="A449" s="2" t="s">
        <v>442</v>
      </c>
      <c r="B449" s="2" t="s">
        <v>498</v>
      </c>
      <c r="C449" s="2" t="s">
        <v>512</v>
      </c>
      <c r="D449" s="2">
        <v>4</v>
      </c>
      <c r="E449" s="2" t="s">
        <v>521</v>
      </c>
      <c r="F449" s="3">
        <v>45742.266031139603</v>
      </c>
      <c r="G449" s="2" t="str">
        <f t="shared" si="12"/>
        <v>Mar-2025</v>
      </c>
      <c r="H449" s="2" t="str">
        <f t="shared" si="13"/>
        <v>Positive</v>
      </c>
    </row>
    <row r="450" spans="1:8" x14ac:dyDescent="0.25">
      <c r="A450" s="2" t="s">
        <v>443</v>
      </c>
      <c r="B450" s="2" t="s">
        <v>494</v>
      </c>
      <c r="C450" s="2" t="s">
        <v>511</v>
      </c>
      <c r="D450" s="2">
        <v>1</v>
      </c>
      <c r="E450" s="2" t="s">
        <v>514</v>
      </c>
      <c r="F450" s="3">
        <v>45886.266031139639</v>
      </c>
      <c r="G450" s="2" t="str">
        <f t="shared" ref="G450:G501" si="14">TEXT(F450,"mmm-yyyy")</f>
        <v>Aug-2025</v>
      </c>
      <c r="H450" s="2" t="str">
        <f t="shared" ref="H450:H501" si="15">IF(D450&gt;=4,"Positive",IF(D450=3,"Neutral","Negative"))</f>
        <v>Negative</v>
      </c>
    </row>
    <row r="451" spans="1:8" x14ac:dyDescent="0.25">
      <c r="A451" s="2" t="s">
        <v>444</v>
      </c>
      <c r="B451" s="2" t="s">
        <v>494</v>
      </c>
      <c r="C451" s="2" t="s">
        <v>509</v>
      </c>
      <c r="D451" s="2">
        <v>3</v>
      </c>
      <c r="E451" s="2" t="s">
        <v>522</v>
      </c>
      <c r="F451" s="3">
        <v>45623.266031139683</v>
      </c>
      <c r="G451" s="2" t="str">
        <f t="shared" si="14"/>
        <v>Nov-2024</v>
      </c>
      <c r="H451" s="2" t="str">
        <f t="shared" si="15"/>
        <v>Neutral</v>
      </c>
    </row>
    <row r="452" spans="1:8" x14ac:dyDescent="0.25">
      <c r="A452" s="2" t="s">
        <v>206</v>
      </c>
      <c r="B452" s="2" t="s">
        <v>497</v>
      </c>
      <c r="C452" s="2" t="s">
        <v>504</v>
      </c>
      <c r="D452" s="2">
        <v>2</v>
      </c>
      <c r="E452" s="2" t="s">
        <v>517</v>
      </c>
      <c r="F452" s="3">
        <v>45834.266031139719</v>
      </c>
      <c r="G452" s="2" t="str">
        <f t="shared" si="14"/>
        <v>Jun-2025</v>
      </c>
      <c r="H452" s="2" t="str">
        <f t="shared" si="15"/>
        <v>Negative</v>
      </c>
    </row>
    <row r="453" spans="1:8" x14ac:dyDescent="0.25">
      <c r="A453" s="2" t="s">
        <v>445</v>
      </c>
      <c r="B453" s="2" t="s">
        <v>502</v>
      </c>
      <c r="C453" s="2" t="s">
        <v>508</v>
      </c>
      <c r="D453" s="2">
        <v>1</v>
      </c>
      <c r="E453" s="2" t="s">
        <v>518</v>
      </c>
      <c r="F453" s="3">
        <v>45602.266031139763</v>
      </c>
      <c r="G453" s="2" t="str">
        <f t="shared" si="14"/>
        <v>Nov-2024</v>
      </c>
      <c r="H453" s="2" t="str">
        <f t="shared" si="15"/>
        <v>Negative</v>
      </c>
    </row>
    <row r="454" spans="1:8" x14ac:dyDescent="0.25">
      <c r="A454" s="2" t="s">
        <v>446</v>
      </c>
      <c r="B454" s="2" t="s">
        <v>501</v>
      </c>
      <c r="C454" s="2" t="s">
        <v>505</v>
      </c>
      <c r="D454" s="2">
        <v>1</v>
      </c>
      <c r="E454" s="2" t="s">
        <v>515</v>
      </c>
      <c r="F454" s="3">
        <v>45621.266031139792</v>
      </c>
      <c r="G454" s="2" t="str">
        <f t="shared" si="14"/>
        <v>Nov-2024</v>
      </c>
      <c r="H454" s="2" t="str">
        <f t="shared" si="15"/>
        <v>Negative</v>
      </c>
    </row>
    <row r="455" spans="1:8" x14ac:dyDescent="0.25">
      <c r="A455" s="2" t="s">
        <v>447</v>
      </c>
      <c r="B455" s="2" t="s">
        <v>498</v>
      </c>
      <c r="C455" s="2" t="s">
        <v>506</v>
      </c>
      <c r="D455" s="2">
        <v>4</v>
      </c>
      <c r="E455" s="2" t="s">
        <v>515</v>
      </c>
      <c r="F455" s="3">
        <v>45706.266031139843</v>
      </c>
      <c r="G455" s="2" t="str">
        <f t="shared" si="14"/>
        <v>Feb-2025</v>
      </c>
      <c r="H455" s="2" t="str">
        <f t="shared" si="15"/>
        <v>Positive</v>
      </c>
    </row>
    <row r="456" spans="1:8" x14ac:dyDescent="0.25">
      <c r="A456" s="2" t="s">
        <v>448</v>
      </c>
      <c r="B456" s="2" t="s">
        <v>494</v>
      </c>
      <c r="C456" s="2" t="s">
        <v>509</v>
      </c>
      <c r="D456" s="2">
        <v>3</v>
      </c>
      <c r="E456" s="2" t="s">
        <v>517</v>
      </c>
      <c r="F456" s="3">
        <v>45725.266031139887</v>
      </c>
      <c r="G456" s="2" t="str">
        <f t="shared" si="14"/>
        <v>Mar-2025</v>
      </c>
      <c r="H456" s="2" t="str">
        <f t="shared" si="15"/>
        <v>Neutral</v>
      </c>
    </row>
    <row r="457" spans="1:8" x14ac:dyDescent="0.25">
      <c r="A457" s="2" t="s">
        <v>449</v>
      </c>
      <c r="B457" s="2" t="s">
        <v>496</v>
      </c>
      <c r="C457" s="2" t="s">
        <v>509</v>
      </c>
      <c r="D457" s="2">
        <v>4</v>
      </c>
      <c r="E457" s="2" t="s">
        <v>513</v>
      </c>
      <c r="F457" s="3">
        <v>45746.266031139967</v>
      </c>
      <c r="G457" s="2" t="str">
        <f t="shared" si="14"/>
        <v>Mar-2025</v>
      </c>
      <c r="H457" s="2" t="str">
        <f t="shared" si="15"/>
        <v>Positive</v>
      </c>
    </row>
    <row r="458" spans="1:8" x14ac:dyDescent="0.25">
      <c r="A458" s="2" t="s">
        <v>450</v>
      </c>
      <c r="B458" s="2" t="s">
        <v>494</v>
      </c>
      <c r="C458" s="2" t="s">
        <v>512</v>
      </c>
      <c r="D458" s="2">
        <v>1</v>
      </c>
      <c r="E458" s="2" t="s">
        <v>513</v>
      </c>
      <c r="F458" s="3">
        <v>45877.266031140047</v>
      </c>
      <c r="G458" s="2" t="str">
        <f t="shared" si="14"/>
        <v>Aug-2025</v>
      </c>
      <c r="H458" s="2" t="str">
        <f t="shared" si="15"/>
        <v>Negative</v>
      </c>
    </row>
    <row r="459" spans="1:8" x14ac:dyDescent="0.25">
      <c r="A459" s="2" t="s">
        <v>451</v>
      </c>
      <c r="B459" s="2" t="s">
        <v>494</v>
      </c>
      <c r="C459" s="2" t="s">
        <v>512</v>
      </c>
      <c r="D459" s="2">
        <v>2</v>
      </c>
      <c r="E459" s="2" t="s">
        <v>518</v>
      </c>
      <c r="F459" s="3">
        <v>45791.266031140127</v>
      </c>
      <c r="G459" s="2" t="str">
        <f t="shared" si="14"/>
        <v>May-2025</v>
      </c>
      <c r="H459" s="2" t="str">
        <f t="shared" si="15"/>
        <v>Negative</v>
      </c>
    </row>
    <row r="460" spans="1:8" x14ac:dyDescent="0.25">
      <c r="A460" s="2" t="s">
        <v>452</v>
      </c>
      <c r="B460" s="2" t="s">
        <v>493</v>
      </c>
      <c r="C460" s="2" t="s">
        <v>510</v>
      </c>
      <c r="D460" s="2">
        <v>2</v>
      </c>
      <c r="E460" s="2" t="s">
        <v>519</v>
      </c>
      <c r="F460" s="3">
        <v>45758.2660311402</v>
      </c>
      <c r="G460" s="2" t="str">
        <f t="shared" si="14"/>
        <v>Apr-2025</v>
      </c>
      <c r="H460" s="2" t="str">
        <f t="shared" si="15"/>
        <v>Negative</v>
      </c>
    </row>
    <row r="461" spans="1:8" x14ac:dyDescent="0.25">
      <c r="A461" s="2" t="s">
        <v>453</v>
      </c>
      <c r="B461" s="2" t="s">
        <v>497</v>
      </c>
      <c r="C461" s="2" t="s">
        <v>509</v>
      </c>
      <c r="D461" s="2">
        <v>2</v>
      </c>
      <c r="E461" s="2" t="s">
        <v>516</v>
      </c>
      <c r="F461" s="3">
        <v>45832.266031140272</v>
      </c>
      <c r="G461" s="2" t="str">
        <f t="shared" si="14"/>
        <v>Jun-2025</v>
      </c>
      <c r="H461" s="2" t="str">
        <f t="shared" si="15"/>
        <v>Negative</v>
      </c>
    </row>
    <row r="462" spans="1:8" x14ac:dyDescent="0.25">
      <c r="A462" s="2" t="s">
        <v>454</v>
      </c>
      <c r="B462" s="2" t="s">
        <v>495</v>
      </c>
      <c r="C462" s="2" t="s">
        <v>512</v>
      </c>
      <c r="D462" s="2">
        <v>4</v>
      </c>
      <c r="E462" s="2" t="s">
        <v>516</v>
      </c>
      <c r="F462" s="3">
        <v>45853.266031140301</v>
      </c>
      <c r="G462" s="2" t="str">
        <f t="shared" si="14"/>
        <v>Jul-2025</v>
      </c>
      <c r="H462" s="2" t="str">
        <f t="shared" si="15"/>
        <v>Positive</v>
      </c>
    </row>
    <row r="463" spans="1:8" x14ac:dyDescent="0.25">
      <c r="A463" s="2" t="s">
        <v>455</v>
      </c>
      <c r="B463" s="2" t="s">
        <v>496</v>
      </c>
      <c r="C463" s="2" t="s">
        <v>505</v>
      </c>
      <c r="D463" s="2">
        <v>2</v>
      </c>
      <c r="E463" s="2" t="s">
        <v>514</v>
      </c>
      <c r="F463" s="3">
        <v>45701.266031140352</v>
      </c>
      <c r="G463" s="2" t="str">
        <f t="shared" si="14"/>
        <v>Feb-2025</v>
      </c>
      <c r="H463" s="2" t="str">
        <f t="shared" si="15"/>
        <v>Negative</v>
      </c>
    </row>
    <row r="464" spans="1:8" x14ac:dyDescent="0.25">
      <c r="A464" s="2" t="s">
        <v>456</v>
      </c>
      <c r="B464" s="2" t="s">
        <v>493</v>
      </c>
      <c r="C464" s="2" t="s">
        <v>507</v>
      </c>
      <c r="D464" s="2">
        <v>1</v>
      </c>
      <c r="E464" s="2" t="s">
        <v>518</v>
      </c>
      <c r="F464" s="3">
        <v>45718.266031140382</v>
      </c>
      <c r="G464" s="2" t="str">
        <f t="shared" si="14"/>
        <v>Mar-2025</v>
      </c>
      <c r="H464" s="2" t="str">
        <f t="shared" si="15"/>
        <v>Negative</v>
      </c>
    </row>
    <row r="465" spans="1:8" x14ac:dyDescent="0.25">
      <c r="A465" s="2" t="s">
        <v>457</v>
      </c>
      <c r="B465" s="2" t="s">
        <v>500</v>
      </c>
      <c r="C465" s="2" t="s">
        <v>504</v>
      </c>
      <c r="D465" s="2">
        <v>4</v>
      </c>
      <c r="E465" s="2" t="s">
        <v>519</v>
      </c>
      <c r="F465" s="3">
        <v>45852.266031140418</v>
      </c>
      <c r="G465" s="2" t="str">
        <f t="shared" si="14"/>
        <v>Jul-2025</v>
      </c>
      <c r="H465" s="2" t="str">
        <f t="shared" si="15"/>
        <v>Positive</v>
      </c>
    </row>
    <row r="466" spans="1:8" x14ac:dyDescent="0.25">
      <c r="A466" s="2" t="s">
        <v>458</v>
      </c>
      <c r="B466" s="2" t="s">
        <v>500</v>
      </c>
      <c r="C466" s="2" t="s">
        <v>505</v>
      </c>
      <c r="D466" s="2">
        <v>5</v>
      </c>
      <c r="E466" s="2" t="s">
        <v>514</v>
      </c>
      <c r="F466" s="3">
        <v>45566.266031140447</v>
      </c>
      <c r="G466" s="2" t="str">
        <f t="shared" si="14"/>
        <v>Oct-2024</v>
      </c>
      <c r="H466" s="2" t="str">
        <f t="shared" si="15"/>
        <v>Positive</v>
      </c>
    </row>
    <row r="467" spans="1:8" x14ac:dyDescent="0.25">
      <c r="A467" s="2" t="s">
        <v>459</v>
      </c>
      <c r="B467" s="2" t="s">
        <v>500</v>
      </c>
      <c r="C467" s="2" t="s">
        <v>512</v>
      </c>
      <c r="D467" s="2">
        <v>2</v>
      </c>
      <c r="E467" s="2" t="s">
        <v>518</v>
      </c>
      <c r="F467" s="3">
        <v>45775.266031140498</v>
      </c>
      <c r="G467" s="2" t="str">
        <f t="shared" si="14"/>
        <v>Apr-2025</v>
      </c>
      <c r="H467" s="2" t="str">
        <f t="shared" si="15"/>
        <v>Negative</v>
      </c>
    </row>
    <row r="468" spans="1:8" x14ac:dyDescent="0.25">
      <c r="A468" s="2" t="s">
        <v>460</v>
      </c>
      <c r="B468" s="2" t="s">
        <v>500</v>
      </c>
      <c r="C468" s="2" t="s">
        <v>507</v>
      </c>
      <c r="D468" s="2">
        <v>5</v>
      </c>
      <c r="E468" s="2" t="s">
        <v>522</v>
      </c>
      <c r="F468" s="3">
        <v>45679.266031140527</v>
      </c>
      <c r="G468" s="2" t="str">
        <f t="shared" si="14"/>
        <v>Jan-2025</v>
      </c>
      <c r="H468" s="2" t="str">
        <f t="shared" si="15"/>
        <v>Positive</v>
      </c>
    </row>
    <row r="469" spans="1:8" x14ac:dyDescent="0.25">
      <c r="A469" s="2" t="s">
        <v>461</v>
      </c>
      <c r="B469" s="2" t="s">
        <v>495</v>
      </c>
      <c r="C469" s="2" t="s">
        <v>508</v>
      </c>
      <c r="D469" s="2">
        <v>5</v>
      </c>
      <c r="E469" s="2" t="s">
        <v>516</v>
      </c>
      <c r="F469" s="3">
        <v>45819.266031140571</v>
      </c>
      <c r="G469" s="2" t="str">
        <f t="shared" si="14"/>
        <v>Jun-2025</v>
      </c>
      <c r="H469" s="2" t="str">
        <f t="shared" si="15"/>
        <v>Positive</v>
      </c>
    </row>
    <row r="470" spans="1:8" x14ac:dyDescent="0.25">
      <c r="A470" s="2" t="s">
        <v>462</v>
      </c>
      <c r="B470" s="2" t="s">
        <v>493</v>
      </c>
      <c r="C470" s="2" t="s">
        <v>505</v>
      </c>
      <c r="D470" s="2">
        <v>3</v>
      </c>
      <c r="E470" s="2" t="s">
        <v>517</v>
      </c>
      <c r="F470" s="3">
        <v>45662.2660311406</v>
      </c>
      <c r="G470" s="2" t="str">
        <f t="shared" si="14"/>
        <v>Jan-2025</v>
      </c>
      <c r="H470" s="2" t="str">
        <f t="shared" si="15"/>
        <v>Neutral</v>
      </c>
    </row>
    <row r="471" spans="1:8" x14ac:dyDescent="0.25">
      <c r="A471" s="2" t="s">
        <v>463</v>
      </c>
      <c r="B471" s="2" t="s">
        <v>501</v>
      </c>
      <c r="C471" s="2" t="s">
        <v>512</v>
      </c>
      <c r="D471" s="2">
        <v>1</v>
      </c>
      <c r="E471" s="2" t="s">
        <v>513</v>
      </c>
      <c r="F471" s="3">
        <v>45735.266031140651</v>
      </c>
      <c r="G471" s="2" t="str">
        <f t="shared" si="14"/>
        <v>Mar-2025</v>
      </c>
      <c r="H471" s="2" t="str">
        <f t="shared" si="15"/>
        <v>Negative</v>
      </c>
    </row>
    <row r="472" spans="1:8" x14ac:dyDescent="0.25">
      <c r="A472" s="2" t="s">
        <v>464</v>
      </c>
      <c r="B472" s="2" t="s">
        <v>494</v>
      </c>
      <c r="C472" s="2" t="s">
        <v>508</v>
      </c>
      <c r="D472" s="2">
        <v>2</v>
      </c>
      <c r="E472" s="2" t="s">
        <v>520</v>
      </c>
      <c r="F472" s="3">
        <v>45764.26603114068</v>
      </c>
      <c r="G472" s="2" t="str">
        <f t="shared" si="14"/>
        <v>Apr-2025</v>
      </c>
      <c r="H472" s="2" t="str">
        <f t="shared" si="15"/>
        <v>Negative</v>
      </c>
    </row>
    <row r="473" spans="1:8" x14ac:dyDescent="0.25">
      <c r="A473" s="2" t="s">
        <v>465</v>
      </c>
      <c r="B473" s="2" t="s">
        <v>496</v>
      </c>
      <c r="C473" s="2" t="s">
        <v>503</v>
      </c>
      <c r="D473" s="2">
        <v>1</v>
      </c>
      <c r="E473" s="2" t="s">
        <v>522</v>
      </c>
      <c r="F473" s="3">
        <v>45684.266031140723</v>
      </c>
      <c r="G473" s="2" t="str">
        <f t="shared" si="14"/>
        <v>Jan-2025</v>
      </c>
      <c r="H473" s="2" t="str">
        <f t="shared" si="15"/>
        <v>Negative</v>
      </c>
    </row>
    <row r="474" spans="1:8" x14ac:dyDescent="0.25">
      <c r="A474" s="2" t="s">
        <v>466</v>
      </c>
      <c r="B474" s="2" t="s">
        <v>498</v>
      </c>
      <c r="C474" s="2" t="s">
        <v>510</v>
      </c>
      <c r="D474" s="2">
        <v>5</v>
      </c>
      <c r="E474" s="2" t="s">
        <v>518</v>
      </c>
      <c r="F474" s="3">
        <v>45814.266031140753</v>
      </c>
      <c r="G474" s="2" t="str">
        <f t="shared" si="14"/>
        <v>Jun-2025</v>
      </c>
      <c r="H474" s="2" t="str">
        <f t="shared" si="15"/>
        <v>Positive</v>
      </c>
    </row>
    <row r="475" spans="1:8" x14ac:dyDescent="0.25">
      <c r="A475" s="2" t="s">
        <v>467</v>
      </c>
      <c r="B475" s="2" t="s">
        <v>502</v>
      </c>
      <c r="C475" s="2" t="s">
        <v>508</v>
      </c>
      <c r="D475" s="2">
        <v>2</v>
      </c>
      <c r="E475" s="2" t="s">
        <v>514</v>
      </c>
      <c r="F475" s="3">
        <v>45590.266031140789</v>
      </c>
      <c r="G475" s="2" t="str">
        <f t="shared" si="14"/>
        <v>Oct-2024</v>
      </c>
      <c r="H475" s="2" t="str">
        <f t="shared" si="15"/>
        <v>Negative</v>
      </c>
    </row>
    <row r="476" spans="1:8" x14ac:dyDescent="0.25">
      <c r="A476" s="2" t="s">
        <v>468</v>
      </c>
      <c r="B476" s="2" t="s">
        <v>497</v>
      </c>
      <c r="C476" s="2" t="s">
        <v>511</v>
      </c>
      <c r="D476" s="2">
        <v>5</v>
      </c>
      <c r="E476" s="2" t="s">
        <v>521</v>
      </c>
      <c r="F476" s="3">
        <v>45808.266031140847</v>
      </c>
      <c r="G476" s="2" t="str">
        <f t="shared" si="14"/>
        <v>May-2025</v>
      </c>
      <c r="H476" s="2" t="str">
        <f t="shared" si="15"/>
        <v>Positive</v>
      </c>
    </row>
    <row r="477" spans="1:8" x14ac:dyDescent="0.25">
      <c r="A477" s="2" t="s">
        <v>469</v>
      </c>
      <c r="B477" s="2" t="s">
        <v>494</v>
      </c>
      <c r="C477" s="2" t="s">
        <v>507</v>
      </c>
      <c r="D477" s="2">
        <v>3</v>
      </c>
      <c r="E477" s="2" t="s">
        <v>519</v>
      </c>
      <c r="F477" s="3">
        <v>45783.266031140884</v>
      </c>
      <c r="G477" s="2" t="str">
        <f t="shared" si="14"/>
        <v>May-2025</v>
      </c>
      <c r="H477" s="2" t="str">
        <f t="shared" si="15"/>
        <v>Neutral</v>
      </c>
    </row>
    <row r="478" spans="1:8" x14ac:dyDescent="0.25">
      <c r="A478" s="2" t="s">
        <v>470</v>
      </c>
      <c r="B478" s="2" t="s">
        <v>501</v>
      </c>
      <c r="C478" s="2" t="s">
        <v>505</v>
      </c>
      <c r="D478" s="2">
        <v>5</v>
      </c>
      <c r="E478" s="2" t="s">
        <v>518</v>
      </c>
      <c r="F478" s="3">
        <v>45620.266031140913</v>
      </c>
      <c r="G478" s="2" t="str">
        <f t="shared" si="14"/>
        <v>Nov-2024</v>
      </c>
      <c r="H478" s="2" t="str">
        <f t="shared" si="15"/>
        <v>Positive</v>
      </c>
    </row>
    <row r="479" spans="1:8" x14ac:dyDescent="0.25">
      <c r="A479" s="2" t="s">
        <v>471</v>
      </c>
      <c r="B479" s="2" t="s">
        <v>496</v>
      </c>
      <c r="C479" s="2" t="s">
        <v>505</v>
      </c>
      <c r="D479" s="2">
        <v>5</v>
      </c>
      <c r="E479" s="2" t="s">
        <v>514</v>
      </c>
      <c r="F479" s="3">
        <v>45667.266031140949</v>
      </c>
      <c r="G479" s="2" t="str">
        <f t="shared" si="14"/>
        <v>Jan-2025</v>
      </c>
      <c r="H479" s="2" t="str">
        <f t="shared" si="15"/>
        <v>Positive</v>
      </c>
    </row>
    <row r="480" spans="1:8" x14ac:dyDescent="0.25">
      <c r="A480" s="2" t="s">
        <v>263</v>
      </c>
      <c r="B480" s="2" t="s">
        <v>501</v>
      </c>
      <c r="C480" s="2" t="s">
        <v>510</v>
      </c>
      <c r="D480" s="2">
        <v>4</v>
      </c>
      <c r="E480" s="2" t="s">
        <v>517</v>
      </c>
      <c r="F480" s="3">
        <v>45845.266031140993</v>
      </c>
      <c r="G480" s="2" t="str">
        <f t="shared" si="14"/>
        <v>Jul-2025</v>
      </c>
      <c r="H480" s="2" t="str">
        <f t="shared" si="15"/>
        <v>Positive</v>
      </c>
    </row>
    <row r="481" spans="1:8" x14ac:dyDescent="0.25">
      <c r="A481" s="2" t="s">
        <v>472</v>
      </c>
      <c r="B481" s="2" t="s">
        <v>496</v>
      </c>
      <c r="C481" s="2" t="s">
        <v>512</v>
      </c>
      <c r="D481" s="2">
        <v>4</v>
      </c>
      <c r="E481" s="2" t="s">
        <v>513</v>
      </c>
      <c r="F481" s="3">
        <v>45531.266031141022</v>
      </c>
      <c r="G481" s="2" t="str">
        <f t="shared" si="14"/>
        <v>Aug-2024</v>
      </c>
      <c r="H481" s="2" t="str">
        <f t="shared" si="15"/>
        <v>Positive</v>
      </c>
    </row>
    <row r="482" spans="1:8" x14ac:dyDescent="0.25">
      <c r="A482" s="2" t="s">
        <v>473</v>
      </c>
      <c r="B482" s="2" t="s">
        <v>501</v>
      </c>
      <c r="C482" s="2" t="s">
        <v>510</v>
      </c>
      <c r="D482" s="2">
        <v>5</v>
      </c>
      <c r="E482" s="2" t="s">
        <v>518</v>
      </c>
      <c r="F482" s="3">
        <v>45730.266031141051</v>
      </c>
      <c r="G482" s="2" t="str">
        <f t="shared" si="14"/>
        <v>Mar-2025</v>
      </c>
      <c r="H482" s="2" t="str">
        <f t="shared" si="15"/>
        <v>Positive</v>
      </c>
    </row>
    <row r="483" spans="1:8" x14ac:dyDescent="0.25">
      <c r="A483" s="2" t="s">
        <v>474</v>
      </c>
      <c r="B483" s="2" t="s">
        <v>496</v>
      </c>
      <c r="C483" s="2" t="s">
        <v>505</v>
      </c>
      <c r="D483" s="2">
        <v>2</v>
      </c>
      <c r="E483" s="2" t="s">
        <v>516</v>
      </c>
      <c r="F483" s="3">
        <v>45569.266031141102</v>
      </c>
      <c r="G483" s="2" t="str">
        <f t="shared" si="14"/>
        <v>Oct-2024</v>
      </c>
      <c r="H483" s="2" t="str">
        <f t="shared" si="15"/>
        <v>Negative</v>
      </c>
    </row>
    <row r="484" spans="1:8" x14ac:dyDescent="0.25">
      <c r="A484" s="2" t="s">
        <v>475</v>
      </c>
      <c r="B484" s="2" t="s">
        <v>502</v>
      </c>
      <c r="C484" s="2" t="s">
        <v>505</v>
      </c>
      <c r="D484" s="2">
        <v>1</v>
      </c>
      <c r="E484" s="2" t="s">
        <v>521</v>
      </c>
      <c r="F484" s="3">
        <v>45866.266031141131</v>
      </c>
      <c r="G484" s="2" t="str">
        <f t="shared" si="14"/>
        <v>Jul-2025</v>
      </c>
      <c r="H484" s="2" t="str">
        <f t="shared" si="15"/>
        <v>Negative</v>
      </c>
    </row>
    <row r="485" spans="1:8" x14ac:dyDescent="0.25">
      <c r="A485" s="2" t="s">
        <v>476</v>
      </c>
      <c r="B485" s="2" t="s">
        <v>496</v>
      </c>
      <c r="C485" s="2" t="s">
        <v>507</v>
      </c>
      <c r="D485" s="2">
        <v>3</v>
      </c>
      <c r="E485" s="2" t="s">
        <v>517</v>
      </c>
      <c r="F485" s="3">
        <v>45684.266031141167</v>
      </c>
      <c r="G485" s="2" t="str">
        <f t="shared" si="14"/>
        <v>Jan-2025</v>
      </c>
      <c r="H485" s="2" t="str">
        <f t="shared" si="15"/>
        <v>Neutral</v>
      </c>
    </row>
    <row r="486" spans="1:8" x14ac:dyDescent="0.25">
      <c r="A486" s="2" t="s">
        <v>477</v>
      </c>
      <c r="B486" s="2" t="s">
        <v>496</v>
      </c>
      <c r="C486" s="2" t="s">
        <v>505</v>
      </c>
      <c r="D486" s="2">
        <v>5</v>
      </c>
      <c r="E486" s="2" t="s">
        <v>513</v>
      </c>
      <c r="F486" s="3">
        <v>45772.266031141218</v>
      </c>
      <c r="G486" s="2" t="str">
        <f t="shared" si="14"/>
        <v>Apr-2025</v>
      </c>
      <c r="H486" s="2" t="str">
        <f t="shared" si="15"/>
        <v>Positive</v>
      </c>
    </row>
    <row r="487" spans="1:8" x14ac:dyDescent="0.25">
      <c r="A487" s="2" t="s">
        <v>478</v>
      </c>
      <c r="B487" s="2" t="s">
        <v>494</v>
      </c>
      <c r="C487" s="2" t="s">
        <v>509</v>
      </c>
      <c r="D487" s="2">
        <v>5</v>
      </c>
      <c r="E487" s="2" t="s">
        <v>518</v>
      </c>
      <c r="F487" s="3">
        <v>45884.266031141247</v>
      </c>
      <c r="G487" s="2" t="str">
        <f t="shared" si="14"/>
        <v>Aug-2025</v>
      </c>
      <c r="H487" s="2" t="str">
        <f t="shared" si="15"/>
        <v>Positive</v>
      </c>
    </row>
    <row r="488" spans="1:8" x14ac:dyDescent="0.25">
      <c r="A488" s="2" t="s">
        <v>479</v>
      </c>
      <c r="B488" s="2" t="s">
        <v>502</v>
      </c>
      <c r="C488" s="2" t="s">
        <v>507</v>
      </c>
      <c r="D488" s="2">
        <v>5</v>
      </c>
      <c r="E488" s="2" t="s">
        <v>522</v>
      </c>
      <c r="F488" s="3">
        <v>45543.266031141276</v>
      </c>
      <c r="G488" s="2" t="str">
        <f t="shared" si="14"/>
        <v>Sep-2024</v>
      </c>
      <c r="H488" s="2" t="str">
        <f t="shared" si="15"/>
        <v>Positive</v>
      </c>
    </row>
    <row r="489" spans="1:8" x14ac:dyDescent="0.25">
      <c r="A489" s="2" t="s">
        <v>480</v>
      </c>
      <c r="B489" s="2" t="s">
        <v>498</v>
      </c>
      <c r="C489" s="2" t="s">
        <v>512</v>
      </c>
      <c r="D489" s="2">
        <v>3</v>
      </c>
      <c r="E489" s="2" t="s">
        <v>521</v>
      </c>
      <c r="F489" s="3">
        <v>45796.26603114132</v>
      </c>
      <c r="G489" s="2" t="str">
        <f t="shared" si="14"/>
        <v>May-2025</v>
      </c>
      <c r="H489" s="2" t="str">
        <f t="shared" si="15"/>
        <v>Neutral</v>
      </c>
    </row>
    <row r="490" spans="1:8" x14ac:dyDescent="0.25">
      <c r="A490" s="2" t="s">
        <v>481</v>
      </c>
      <c r="B490" s="2" t="s">
        <v>500</v>
      </c>
      <c r="C490" s="2" t="s">
        <v>506</v>
      </c>
      <c r="D490" s="2">
        <v>4</v>
      </c>
      <c r="E490" s="2" t="s">
        <v>514</v>
      </c>
      <c r="F490" s="3">
        <v>45692.266031141357</v>
      </c>
      <c r="G490" s="2" t="str">
        <f t="shared" si="14"/>
        <v>Feb-2025</v>
      </c>
      <c r="H490" s="2" t="str">
        <f t="shared" si="15"/>
        <v>Positive</v>
      </c>
    </row>
    <row r="491" spans="1:8" x14ac:dyDescent="0.25">
      <c r="A491" s="2" t="s">
        <v>482</v>
      </c>
      <c r="B491" s="2" t="s">
        <v>502</v>
      </c>
      <c r="C491" s="2" t="s">
        <v>508</v>
      </c>
      <c r="D491" s="2">
        <v>3</v>
      </c>
      <c r="E491" s="2" t="s">
        <v>517</v>
      </c>
      <c r="F491" s="3">
        <v>45583.2660311414</v>
      </c>
      <c r="G491" s="2" t="str">
        <f t="shared" si="14"/>
        <v>Oct-2024</v>
      </c>
      <c r="H491" s="2" t="str">
        <f t="shared" si="15"/>
        <v>Neutral</v>
      </c>
    </row>
    <row r="492" spans="1:8" x14ac:dyDescent="0.25">
      <c r="A492" s="2" t="s">
        <v>483</v>
      </c>
      <c r="B492" s="2" t="s">
        <v>496</v>
      </c>
      <c r="C492" s="2" t="s">
        <v>509</v>
      </c>
      <c r="D492" s="2">
        <v>5</v>
      </c>
      <c r="E492" s="2" t="s">
        <v>516</v>
      </c>
      <c r="F492" s="3">
        <v>45714.266031141437</v>
      </c>
      <c r="G492" s="2" t="str">
        <f t="shared" si="14"/>
        <v>Feb-2025</v>
      </c>
      <c r="H492" s="2" t="str">
        <f t="shared" si="15"/>
        <v>Positive</v>
      </c>
    </row>
    <row r="493" spans="1:8" x14ac:dyDescent="0.25">
      <c r="A493" s="2" t="s">
        <v>484</v>
      </c>
      <c r="B493" s="2" t="s">
        <v>502</v>
      </c>
      <c r="C493" s="2" t="s">
        <v>504</v>
      </c>
      <c r="D493" s="2">
        <v>2</v>
      </c>
      <c r="E493" s="2" t="s">
        <v>518</v>
      </c>
      <c r="F493" s="3">
        <v>45726.266031141473</v>
      </c>
      <c r="G493" s="2" t="str">
        <f t="shared" si="14"/>
        <v>Mar-2025</v>
      </c>
      <c r="H493" s="2" t="str">
        <f t="shared" si="15"/>
        <v>Negative</v>
      </c>
    </row>
    <row r="494" spans="1:8" x14ac:dyDescent="0.25">
      <c r="A494" s="2" t="s">
        <v>485</v>
      </c>
      <c r="B494" s="2" t="s">
        <v>494</v>
      </c>
      <c r="C494" s="2" t="s">
        <v>508</v>
      </c>
      <c r="D494" s="2">
        <v>5</v>
      </c>
      <c r="E494" s="2" t="s">
        <v>516</v>
      </c>
      <c r="F494" s="3">
        <v>45590.266031141517</v>
      </c>
      <c r="G494" s="2" t="str">
        <f t="shared" si="14"/>
        <v>Oct-2024</v>
      </c>
      <c r="H494" s="2" t="str">
        <f t="shared" si="15"/>
        <v>Positive</v>
      </c>
    </row>
    <row r="495" spans="1:8" x14ac:dyDescent="0.25">
      <c r="A495" s="2" t="s">
        <v>486</v>
      </c>
      <c r="B495" s="2" t="s">
        <v>500</v>
      </c>
      <c r="C495" s="2" t="s">
        <v>503</v>
      </c>
      <c r="D495" s="2">
        <v>4</v>
      </c>
      <c r="E495" s="2" t="s">
        <v>522</v>
      </c>
      <c r="F495" s="3">
        <v>45582.266031141553</v>
      </c>
      <c r="G495" s="2" t="str">
        <f t="shared" si="14"/>
        <v>Oct-2024</v>
      </c>
      <c r="H495" s="2" t="str">
        <f t="shared" si="15"/>
        <v>Positive</v>
      </c>
    </row>
    <row r="496" spans="1:8" x14ac:dyDescent="0.25">
      <c r="A496" s="2" t="s">
        <v>487</v>
      </c>
      <c r="B496" s="2" t="s">
        <v>499</v>
      </c>
      <c r="C496" s="2" t="s">
        <v>505</v>
      </c>
      <c r="D496" s="2">
        <v>4</v>
      </c>
      <c r="E496" s="2" t="s">
        <v>522</v>
      </c>
      <c r="F496" s="3">
        <v>45555.266031141597</v>
      </c>
      <c r="G496" s="2" t="str">
        <f t="shared" si="14"/>
        <v>Sep-2024</v>
      </c>
      <c r="H496" s="2" t="str">
        <f t="shared" si="15"/>
        <v>Positive</v>
      </c>
    </row>
    <row r="497" spans="1:8" x14ac:dyDescent="0.25">
      <c r="A497" s="2" t="s">
        <v>488</v>
      </c>
      <c r="B497" s="2" t="s">
        <v>498</v>
      </c>
      <c r="C497" s="2" t="s">
        <v>504</v>
      </c>
      <c r="D497" s="2">
        <v>1</v>
      </c>
      <c r="E497" s="2" t="s">
        <v>515</v>
      </c>
      <c r="F497" s="3">
        <v>45658.266031141633</v>
      </c>
      <c r="G497" s="2" t="str">
        <f t="shared" si="14"/>
        <v>Jan-2025</v>
      </c>
      <c r="H497" s="2" t="str">
        <f t="shared" si="15"/>
        <v>Negative</v>
      </c>
    </row>
    <row r="498" spans="1:8" x14ac:dyDescent="0.25">
      <c r="A498" s="2" t="s">
        <v>489</v>
      </c>
      <c r="B498" s="2" t="s">
        <v>501</v>
      </c>
      <c r="C498" s="2" t="s">
        <v>503</v>
      </c>
      <c r="D498" s="2">
        <v>4</v>
      </c>
      <c r="E498" s="2" t="s">
        <v>516</v>
      </c>
      <c r="F498" s="3">
        <v>45615.266031141669</v>
      </c>
      <c r="G498" s="2" t="str">
        <f t="shared" si="14"/>
        <v>Nov-2024</v>
      </c>
      <c r="H498" s="2" t="str">
        <f t="shared" si="15"/>
        <v>Positive</v>
      </c>
    </row>
    <row r="499" spans="1:8" x14ac:dyDescent="0.25">
      <c r="A499" s="2" t="s">
        <v>490</v>
      </c>
      <c r="B499" s="2" t="s">
        <v>501</v>
      </c>
      <c r="C499" s="2" t="s">
        <v>509</v>
      </c>
      <c r="D499" s="2">
        <v>2</v>
      </c>
      <c r="E499" s="2" t="s">
        <v>515</v>
      </c>
      <c r="F499" s="3">
        <v>45623.266031141698</v>
      </c>
      <c r="G499" s="2" t="str">
        <f t="shared" si="14"/>
        <v>Nov-2024</v>
      </c>
      <c r="H499" s="2" t="str">
        <f t="shared" si="15"/>
        <v>Negative</v>
      </c>
    </row>
    <row r="500" spans="1:8" x14ac:dyDescent="0.25">
      <c r="A500" s="2" t="s">
        <v>491</v>
      </c>
      <c r="B500" s="2" t="s">
        <v>493</v>
      </c>
      <c r="C500" s="2" t="s">
        <v>512</v>
      </c>
      <c r="D500" s="2">
        <v>5</v>
      </c>
      <c r="E500" s="2" t="s">
        <v>519</v>
      </c>
      <c r="F500" s="3">
        <v>45651.266031141749</v>
      </c>
      <c r="G500" s="2" t="str">
        <f t="shared" si="14"/>
        <v>Dec-2024</v>
      </c>
      <c r="H500" s="2" t="str">
        <f t="shared" si="15"/>
        <v>Positive</v>
      </c>
    </row>
    <row r="501" spans="1:8" x14ac:dyDescent="0.25">
      <c r="A501" s="2" t="s">
        <v>492</v>
      </c>
      <c r="B501" s="2" t="s">
        <v>497</v>
      </c>
      <c r="C501" s="2" t="s">
        <v>512</v>
      </c>
      <c r="D501" s="2">
        <v>5</v>
      </c>
      <c r="E501" s="2" t="s">
        <v>518</v>
      </c>
      <c r="F501" s="3">
        <v>45665.266031141793</v>
      </c>
      <c r="G501" s="2" t="str">
        <f t="shared" si="14"/>
        <v>Jan-2025</v>
      </c>
      <c r="H501" s="2" t="str">
        <f t="shared" si="15"/>
        <v>Positive</v>
      </c>
    </row>
  </sheetData>
  <conditionalFormatting sqref="H1:H1048576">
    <cfRule type="colorScale" priority="4">
      <colorScale>
        <cfvo type="min"/>
        <cfvo type="max"/>
        <color rgb="FFFF7128"/>
        <color rgb="FFFFEF9C"/>
      </colorScale>
    </cfRule>
  </conditionalFormatting>
  <conditionalFormatting sqref="H2:H501">
    <cfRule type="containsText" dxfId="10" priority="5" stopIfTrue="1" operator="containsText" text="Negative">
      <formula>NOT(ISERROR(SEARCH("Negative",H2)))</formula>
    </cfRule>
    <cfRule type="containsText" dxfId="9" priority="7" stopIfTrue="1" operator="containsText" text="Positive">
      <formula>NOT(ISERROR(SEARCH("Positive",H2)))</formula>
    </cfRule>
  </conditionalFormatting>
  <conditionalFormatting sqref="H481">
    <cfRule type="containsText" dxfId="8" priority="6" stopIfTrue="1" operator="containsText" text="Negative ">
      <formula>NOT(ISERROR(SEARCH("Negative ",H481)))</formula>
    </cfRule>
  </conditionalFormatting>
  <conditionalFormatting sqref="D1:D1048576">
    <cfRule type="cellIs" dxfId="0" priority="3" operator="lessThan">
      <formula>3</formula>
    </cfRule>
    <cfRule type="cellIs" dxfId="1" priority="2" operator="greaterThan">
      <formula>3</formula>
    </cfRule>
    <cfRule type="cellIs" dxfId="2" priority="1" operator="equal">
      <formula>3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E0F72-36FE-4B20-BF50-1DEBA42E398A}">
  <dimension ref="C1:G76"/>
  <sheetViews>
    <sheetView workbookViewId="0">
      <selection activeCell="C11" sqref="A1:XFD1048576"/>
    </sheetView>
  </sheetViews>
  <sheetFormatPr defaultRowHeight="15" x14ac:dyDescent="0.25"/>
  <cols>
    <col min="1" max="2" width="9.140625" style="8"/>
    <col min="3" max="3" width="109.42578125" style="8" bestFit="1" customWidth="1"/>
    <col min="4" max="16384" width="9.140625" style="8"/>
  </cols>
  <sheetData>
    <row r="1" spans="3:7" ht="15.75" thickBot="1" x14ac:dyDescent="0.3">
      <c r="C1" s="40" t="s">
        <v>548</v>
      </c>
      <c r="D1" s="40"/>
      <c r="E1" s="40"/>
      <c r="F1" s="40"/>
      <c r="G1" s="40"/>
    </row>
    <row r="2" spans="3:7" ht="15.75" thickBot="1" x14ac:dyDescent="0.3">
      <c r="C2" s="40"/>
      <c r="D2" s="40"/>
      <c r="E2" s="40"/>
      <c r="F2" s="40"/>
      <c r="G2" s="40"/>
    </row>
    <row r="4" spans="3:7" x14ac:dyDescent="0.25">
      <c r="C4" s="8" t="s">
        <v>549</v>
      </c>
    </row>
    <row r="6" spans="3:7" x14ac:dyDescent="0.25">
      <c r="C6" s="9" t="s">
        <v>550</v>
      </c>
    </row>
    <row r="8" spans="3:7" x14ac:dyDescent="0.25">
      <c r="C8" s="8" t="s">
        <v>551</v>
      </c>
    </row>
    <row r="9" spans="3:7" x14ac:dyDescent="0.25">
      <c r="C9" s="8" t="s">
        <v>552</v>
      </c>
    </row>
    <row r="11" spans="3:7" x14ac:dyDescent="0.25">
      <c r="C11" s="8" t="s">
        <v>549</v>
      </c>
    </row>
    <row r="13" spans="3:7" x14ac:dyDescent="0.25">
      <c r="C13" s="8" t="s">
        <v>553</v>
      </c>
    </row>
    <row r="15" spans="3:7" x14ac:dyDescent="0.25">
      <c r="C15" s="8" t="s">
        <v>554</v>
      </c>
    </row>
    <row r="16" spans="3:7" x14ac:dyDescent="0.25">
      <c r="C16" s="8" t="s">
        <v>555</v>
      </c>
    </row>
    <row r="17" spans="3:3" x14ac:dyDescent="0.25">
      <c r="C17" s="8" t="s">
        <v>556</v>
      </c>
    </row>
    <row r="18" spans="3:3" x14ac:dyDescent="0.25">
      <c r="C18" s="8" t="s">
        <v>557</v>
      </c>
    </row>
    <row r="20" spans="3:3" x14ac:dyDescent="0.25">
      <c r="C20" s="8" t="s">
        <v>558</v>
      </c>
    </row>
    <row r="21" spans="3:3" x14ac:dyDescent="0.25">
      <c r="C21" s="8" t="s">
        <v>559</v>
      </c>
    </row>
    <row r="22" spans="3:3" x14ac:dyDescent="0.25">
      <c r="C22" s="8" t="s">
        <v>560</v>
      </c>
    </row>
    <row r="23" spans="3:3" x14ac:dyDescent="0.25">
      <c r="C23" s="8" t="s">
        <v>561</v>
      </c>
    </row>
    <row r="25" spans="3:3" x14ac:dyDescent="0.25">
      <c r="C25" s="8" t="s">
        <v>562</v>
      </c>
    </row>
    <row r="26" spans="3:3" x14ac:dyDescent="0.25">
      <c r="C26" s="8" t="s">
        <v>563</v>
      </c>
    </row>
    <row r="27" spans="3:3" x14ac:dyDescent="0.25">
      <c r="C27" s="8" t="s">
        <v>564</v>
      </c>
    </row>
    <row r="28" spans="3:3" x14ac:dyDescent="0.25">
      <c r="C28" s="8" t="s">
        <v>565</v>
      </c>
    </row>
    <row r="30" spans="3:3" x14ac:dyDescent="0.25">
      <c r="C30" s="8" t="s">
        <v>566</v>
      </c>
    </row>
    <row r="31" spans="3:3" x14ac:dyDescent="0.25">
      <c r="C31" s="8" t="s">
        <v>567</v>
      </c>
    </row>
    <row r="32" spans="3:3" x14ac:dyDescent="0.25">
      <c r="C32" s="8" t="s">
        <v>568</v>
      </c>
    </row>
    <row r="33" spans="3:3" x14ac:dyDescent="0.25">
      <c r="C33" s="8" t="s">
        <v>569</v>
      </c>
    </row>
    <row r="35" spans="3:3" x14ac:dyDescent="0.25">
      <c r="C35" s="8" t="s">
        <v>570</v>
      </c>
    </row>
    <row r="36" spans="3:3" x14ac:dyDescent="0.25">
      <c r="C36" s="8" t="s">
        <v>571</v>
      </c>
    </row>
    <row r="37" spans="3:3" x14ac:dyDescent="0.25">
      <c r="C37" s="8" t="s">
        <v>572</v>
      </c>
    </row>
    <row r="38" spans="3:3" x14ac:dyDescent="0.25">
      <c r="C38" s="8" t="s">
        <v>573</v>
      </c>
    </row>
    <row r="40" spans="3:3" x14ac:dyDescent="0.25">
      <c r="C40" s="8" t="s">
        <v>574</v>
      </c>
    </row>
    <row r="41" spans="3:3" x14ac:dyDescent="0.25">
      <c r="C41" s="8" t="s">
        <v>575</v>
      </c>
    </row>
    <row r="42" spans="3:3" x14ac:dyDescent="0.25">
      <c r="C42" s="8" t="s">
        <v>576</v>
      </c>
    </row>
    <row r="43" spans="3:3" x14ac:dyDescent="0.25">
      <c r="C43" s="8" t="s">
        <v>577</v>
      </c>
    </row>
    <row r="45" spans="3:3" x14ac:dyDescent="0.25">
      <c r="C45" s="8" t="s">
        <v>549</v>
      </c>
    </row>
    <row r="47" spans="3:3" x14ac:dyDescent="0.25">
      <c r="C47" s="8" t="s">
        <v>578</v>
      </c>
    </row>
    <row r="49" spans="3:3" x14ac:dyDescent="0.25">
      <c r="C49" s="8" t="s">
        <v>579</v>
      </c>
    </row>
    <row r="50" spans="3:3" x14ac:dyDescent="0.25">
      <c r="C50" s="8" t="s">
        <v>580</v>
      </c>
    </row>
    <row r="52" spans="3:3" x14ac:dyDescent="0.25">
      <c r="C52" s="8" t="s">
        <v>581</v>
      </c>
    </row>
    <row r="53" spans="3:3" x14ac:dyDescent="0.25">
      <c r="C53" s="8" t="s">
        <v>582</v>
      </c>
    </row>
    <row r="55" spans="3:3" x14ac:dyDescent="0.25">
      <c r="C55" s="8" t="s">
        <v>583</v>
      </c>
    </row>
    <row r="56" spans="3:3" x14ac:dyDescent="0.25">
      <c r="C56" s="8" t="s">
        <v>584</v>
      </c>
    </row>
    <row r="58" spans="3:3" x14ac:dyDescent="0.25">
      <c r="C58" s="8" t="s">
        <v>585</v>
      </c>
    </row>
    <row r="60" spans="3:3" x14ac:dyDescent="0.25">
      <c r="C60" s="8" t="s">
        <v>549</v>
      </c>
    </row>
    <row r="62" spans="3:3" x14ac:dyDescent="0.25">
      <c r="C62" s="8" t="s">
        <v>586</v>
      </c>
    </row>
    <row r="64" spans="3:3" x14ac:dyDescent="0.25">
      <c r="C64" s="8" t="s">
        <v>587</v>
      </c>
    </row>
    <row r="65" spans="3:3" x14ac:dyDescent="0.25">
      <c r="C65" s="8" t="s">
        <v>588</v>
      </c>
    </row>
    <row r="66" spans="3:3" x14ac:dyDescent="0.25">
      <c r="C66" s="8" t="s">
        <v>589</v>
      </c>
    </row>
    <row r="67" spans="3:3" x14ac:dyDescent="0.25">
      <c r="C67" s="8" t="s">
        <v>590</v>
      </c>
    </row>
    <row r="69" spans="3:3" x14ac:dyDescent="0.25">
      <c r="C69" s="8" t="s">
        <v>549</v>
      </c>
    </row>
    <row r="71" spans="3:3" x14ac:dyDescent="0.25">
      <c r="C71" s="8" t="s">
        <v>591</v>
      </c>
    </row>
    <row r="73" spans="3:3" x14ac:dyDescent="0.25">
      <c r="C73" s="8" t="s">
        <v>592</v>
      </c>
    </row>
    <row r="74" spans="3:3" x14ac:dyDescent="0.25">
      <c r="C74" s="8" t="s">
        <v>593</v>
      </c>
    </row>
    <row r="76" spans="3:3" x14ac:dyDescent="0.25">
      <c r="C76" s="8" t="s">
        <v>594</v>
      </c>
    </row>
  </sheetData>
  <mergeCells count="1">
    <mergeCell ref="C1:G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DCC11-EDA7-4087-BEA2-4D51F9B1AF53}">
  <dimension ref="A3:B9"/>
  <sheetViews>
    <sheetView workbookViewId="0">
      <pane ySplit="6" topLeftCell="A7" activePane="bottomLeft" state="frozen"/>
      <selection pane="bottomLeft" activeCell="A4" sqref="A4:A8"/>
    </sheetView>
  </sheetViews>
  <sheetFormatPr defaultRowHeight="15" x14ac:dyDescent="0.25"/>
  <cols>
    <col min="1" max="1" width="13.140625" bestFit="1" customWidth="1"/>
    <col min="2" max="2" width="25.7109375" bestFit="1" customWidth="1"/>
    <col min="3" max="488" width="7.140625" bestFit="1" customWidth="1"/>
    <col min="489" max="489" width="11.28515625" bestFit="1" customWidth="1"/>
  </cols>
  <sheetData>
    <row r="3" spans="1:2" x14ac:dyDescent="0.25">
      <c r="A3" s="4" t="s">
        <v>525</v>
      </c>
      <c r="B3" t="s">
        <v>596</v>
      </c>
    </row>
    <row r="4" spans="1:2" x14ac:dyDescent="0.25">
      <c r="A4" s="5">
        <v>1</v>
      </c>
      <c r="B4">
        <v>100</v>
      </c>
    </row>
    <row r="5" spans="1:2" x14ac:dyDescent="0.25">
      <c r="A5" s="5">
        <v>2</v>
      </c>
      <c r="B5">
        <v>108</v>
      </c>
    </row>
    <row r="6" spans="1:2" x14ac:dyDescent="0.25">
      <c r="A6" s="5">
        <v>3</v>
      </c>
      <c r="B6">
        <v>101</v>
      </c>
    </row>
    <row r="7" spans="1:2" x14ac:dyDescent="0.25">
      <c r="A7" s="5">
        <v>4</v>
      </c>
      <c r="B7">
        <v>100</v>
      </c>
    </row>
    <row r="8" spans="1:2" x14ac:dyDescent="0.25">
      <c r="A8" s="5">
        <v>5</v>
      </c>
      <c r="B8">
        <v>91</v>
      </c>
    </row>
    <row r="9" spans="1:2" x14ac:dyDescent="0.25">
      <c r="A9" s="5" t="s">
        <v>526</v>
      </c>
      <c r="B9">
        <v>500</v>
      </c>
    </row>
  </sheetData>
  <conditionalFormatting sqref="A4:A8">
    <cfRule type="iconSet" priority="1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E459D-D870-4A35-8D28-C10749BCB611}">
  <dimension ref="A3:B14"/>
  <sheetViews>
    <sheetView topLeftCell="A2" workbookViewId="0">
      <pane ySplit="2" topLeftCell="A4" activePane="bottomLeft" state="frozen"/>
      <selection activeCell="A2" sqref="A2"/>
      <selection pane="bottomLeft" activeCell="A4" sqref="A3:B14"/>
    </sheetView>
  </sheetViews>
  <sheetFormatPr defaultRowHeight="15" x14ac:dyDescent="0.25"/>
  <cols>
    <col min="1" max="1" width="13.140625" bestFit="1" customWidth="1"/>
    <col min="2" max="2" width="20" bestFit="1" customWidth="1"/>
  </cols>
  <sheetData>
    <row r="3" spans="1:2" x14ac:dyDescent="0.25">
      <c r="A3" s="4" t="s">
        <v>525</v>
      </c>
      <c r="B3" t="s">
        <v>527</v>
      </c>
    </row>
    <row r="4" spans="1:2" x14ac:dyDescent="0.25">
      <c r="A4" s="5" t="s">
        <v>505</v>
      </c>
      <c r="B4">
        <v>49</v>
      </c>
    </row>
    <row r="5" spans="1:2" x14ac:dyDescent="0.25">
      <c r="A5" s="5" t="s">
        <v>503</v>
      </c>
      <c r="B5">
        <v>42</v>
      </c>
    </row>
    <row r="6" spans="1:2" x14ac:dyDescent="0.25">
      <c r="A6" s="5" t="s">
        <v>510</v>
      </c>
      <c r="B6">
        <v>54</v>
      </c>
    </row>
    <row r="7" spans="1:2" x14ac:dyDescent="0.25">
      <c r="A7" s="5" t="s">
        <v>507</v>
      </c>
      <c r="B7">
        <v>64</v>
      </c>
    </row>
    <row r="8" spans="1:2" x14ac:dyDescent="0.25">
      <c r="A8" s="5" t="s">
        <v>511</v>
      </c>
      <c r="B8">
        <v>48</v>
      </c>
    </row>
    <row r="9" spans="1:2" x14ac:dyDescent="0.25">
      <c r="A9" s="5" t="s">
        <v>508</v>
      </c>
      <c r="B9">
        <v>58</v>
      </c>
    </row>
    <row r="10" spans="1:2" x14ac:dyDescent="0.25">
      <c r="A10" s="5" t="s">
        <v>504</v>
      </c>
      <c r="B10">
        <v>43</v>
      </c>
    </row>
    <row r="11" spans="1:2" x14ac:dyDescent="0.25">
      <c r="A11" s="5" t="s">
        <v>512</v>
      </c>
      <c r="B11">
        <v>46</v>
      </c>
    </row>
    <row r="12" spans="1:2" x14ac:dyDescent="0.25">
      <c r="A12" s="5" t="s">
        <v>509</v>
      </c>
      <c r="B12">
        <v>51</v>
      </c>
    </row>
    <row r="13" spans="1:2" x14ac:dyDescent="0.25">
      <c r="A13" s="5" t="s">
        <v>506</v>
      </c>
      <c r="B13">
        <v>45</v>
      </c>
    </row>
    <row r="14" spans="1:2" x14ac:dyDescent="0.25">
      <c r="A14" s="5" t="s">
        <v>526</v>
      </c>
      <c r="B14">
        <v>500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AE007-1149-40DC-88EB-F9AC9BD4209D}">
  <dimension ref="B1:U50"/>
  <sheetViews>
    <sheetView tabSelected="1" topLeftCell="A46" zoomScale="91" zoomScaleNormal="91" workbookViewId="0">
      <selection activeCell="R69" sqref="R69"/>
    </sheetView>
  </sheetViews>
  <sheetFormatPr defaultRowHeight="15" x14ac:dyDescent="0.25"/>
  <sheetData>
    <row r="1" spans="2:21" ht="31.5" customHeight="1" x14ac:dyDescent="0.25">
      <c r="B1" s="17" t="s">
        <v>542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</row>
    <row r="2" spans="2:21" ht="15.75" customHeight="1" x14ac:dyDescent="0.25">
      <c r="B2" s="17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</row>
    <row r="3" spans="2:21" ht="15.75" customHeight="1" thickBot="1" x14ac:dyDescent="0.3">
      <c r="B3" s="17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</row>
    <row r="4" spans="2:21" ht="16.5" thickTop="1" thickBot="1" x14ac:dyDescent="0.3">
      <c r="B4" s="35" t="s">
        <v>547</v>
      </c>
      <c r="C4" s="35"/>
      <c r="D4" s="35"/>
      <c r="E4" s="32" t="s">
        <v>546</v>
      </c>
      <c r="F4" s="36"/>
      <c r="G4" s="36"/>
      <c r="H4" s="37" t="s">
        <v>545</v>
      </c>
      <c r="I4" s="37"/>
      <c r="J4" s="37"/>
      <c r="K4" s="32" t="s">
        <v>598</v>
      </c>
      <c r="L4" s="32"/>
      <c r="M4" s="32"/>
      <c r="N4" s="26" t="s">
        <v>597</v>
      </c>
      <c r="O4" s="27"/>
      <c r="P4" s="27"/>
      <c r="Q4" s="10" t="s">
        <v>600</v>
      </c>
      <c r="R4" s="11"/>
      <c r="S4" s="11"/>
      <c r="T4" s="19" t="s">
        <v>599</v>
      </c>
      <c r="U4" s="20"/>
    </row>
    <row r="5" spans="2:21" ht="16.5" thickTop="1" thickBot="1" x14ac:dyDescent="0.3">
      <c r="B5" s="35"/>
      <c r="C5" s="35"/>
      <c r="D5" s="35"/>
      <c r="E5" s="36"/>
      <c r="F5" s="36"/>
      <c r="G5" s="36"/>
      <c r="H5" s="37"/>
      <c r="I5" s="37"/>
      <c r="J5" s="37"/>
      <c r="K5" s="32"/>
      <c r="L5" s="32"/>
      <c r="M5" s="32"/>
      <c r="N5" s="28"/>
      <c r="O5" s="28"/>
      <c r="P5" s="28"/>
      <c r="Q5" s="12"/>
      <c r="R5" s="12"/>
      <c r="S5" s="12"/>
      <c r="T5" s="21"/>
      <c r="U5" s="21"/>
    </row>
    <row r="6" spans="2:21" ht="16.5" customHeight="1" thickTop="1" thickBot="1" x14ac:dyDescent="0.3">
      <c r="B6" s="38">
        <f>AVERAGE('Raw Data'!D2:D501)</f>
        <v>2.95</v>
      </c>
      <c r="C6" s="38"/>
      <c r="D6" s="38"/>
      <c r="E6" s="38">
        <f>COUNTA('Raw Data'!E2:E501)</f>
        <v>500</v>
      </c>
      <c r="F6" s="38"/>
      <c r="G6" s="38"/>
      <c r="H6" s="38">
        <f>COUNTIF('Raw Data'!H1:H501,"Negative")</f>
        <v>208</v>
      </c>
      <c r="I6" s="38"/>
      <c r="J6" s="38"/>
      <c r="K6" s="33">
        <f>COUNTIF('Raw Data'!H2:H501,"Positive")</f>
        <v>191</v>
      </c>
      <c r="L6" s="33"/>
      <c r="M6" s="33"/>
      <c r="N6" s="29" t="str">
        <f>_xlfn.XLOOKUP(MAX(Sentiment!B5:B14),Sentiment!B5:B14,Sentiment!A5:A14)</f>
        <v>Mouse</v>
      </c>
      <c r="O6" s="13"/>
      <c r="P6" s="15">
        <f>MAX(Sentiment!B5:B14)</f>
        <v>27</v>
      </c>
      <c r="Q6" s="13" t="str">
        <f>_xlfn.XLOOKUP(MAX(Sentiment!D5:D14),Sentiment!D5:D14,Sentiment!A5:A14)</f>
        <v>Laptop</v>
      </c>
      <c r="R6" s="13"/>
      <c r="S6" s="15">
        <f>MAX(Sentiment!D5:D14)</f>
        <v>27</v>
      </c>
      <c r="T6" s="22" t="str">
        <f>_xlfn.XLOOKUP(MAX(Sentiment!C5:C14),Sentiment!C5:C14,Sentiment!A5:A14)</f>
        <v>Laptop</v>
      </c>
      <c r="U6" s="24">
        <f>MAX(Sentiment!C5:C14)</f>
        <v>16</v>
      </c>
    </row>
    <row r="7" spans="2:21" ht="15.75" customHeight="1" thickBot="1" x14ac:dyDescent="0.3">
      <c r="B7" s="39"/>
      <c r="C7" s="39"/>
      <c r="D7" s="39"/>
      <c r="E7" s="39"/>
      <c r="F7" s="39"/>
      <c r="G7" s="39"/>
      <c r="H7" s="39"/>
      <c r="I7" s="39"/>
      <c r="J7" s="39"/>
      <c r="K7" s="34"/>
      <c r="L7" s="34"/>
      <c r="M7" s="34"/>
      <c r="N7" s="30"/>
      <c r="O7" s="14"/>
      <c r="P7" s="16"/>
      <c r="Q7" s="14"/>
      <c r="R7" s="14"/>
      <c r="S7" s="16"/>
      <c r="T7" s="23"/>
      <c r="U7" s="25"/>
    </row>
    <row r="8" spans="2:21" ht="15.75" thickBot="1" x14ac:dyDescent="0.3">
      <c r="C8" s="46"/>
      <c r="D8" s="46"/>
      <c r="E8" s="47"/>
      <c r="F8" s="31" t="s">
        <v>601</v>
      </c>
      <c r="G8" s="31"/>
      <c r="H8" s="31"/>
      <c r="I8" s="31"/>
      <c r="J8" s="31"/>
      <c r="K8" s="31"/>
      <c r="L8" s="46"/>
      <c r="M8" s="46"/>
      <c r="N8" s="46"/>
      <c r="O8" s="46"/>
    </row>
    <row r="9" spans="2:21" ht="15.75" thickBot="1" x14ac:dyDescent="0.3">
      <c r="C9" s="45"/>
      <c r="D9" s="45"/>
      <c r="E9" s="48"/>
      <c r="F9" s="31"/>
      <c r="G9" s="31"/>
      <c r="H9" s="31"/>
      <c r="I9" s="31"/>
      <c r="J9" s="31"/>
      <c r="K9" s="31"/>
      <c r="L9" s="45"/>
      <c r="M9" s="45"/>
      <c r="N9" s="45"/>
      <c r="O9" s="45"/>
    </row>
    <row r="10" spans="2:21" x14ac:dyDescent="0.25">
      <c r="L10" s="45"/>
      <c r="M10" s="45"/>
      <c r="N10" s="45"/>
      <c r="O10" s="45"/>
    </row>
    <row r="35" spans="3:15" x14ac:dyDescent="0.25">
      <c r="C35" s="41"/>
      <c r="D35" s="42" t="s">
        <v>603</v>
      </c>
      <c r="E35" s="42"/>
      <c r="F35" s="42"/>
      <c r="G35" s="42"/>
      <c r="H35" s="45"/>
      <c r="I35" s="45"/>
      <c r="J35" s="45"/>
      <c r="K35" s="45"/>
      <c r="L35" s="44" t="s">
        <v>604</v>
      </c>
      <c r="M35" s="44"/>
      <c r="N35" s="44"/>
      <c r="O35" s="44"/>
    </row>
    <row r="36" spans="3:15" x14ac:dyDescent="0.25">
      <c r="C36" s="41"/>
      <c r="D36" s="42"/>
      <c r="E36" s="42"/>
      <c r="F36" s="42"/>
      <c r="G36" s="42"/>
      <c r="H36" s="45"/>
      <c r="I36" s="45"/>
      <c r="J36" s="45"/>
      <c r="K36" s="45"/>
      <c r="L36" s="44"/>
      <c r="M36" s="44"/>
      <c r="N36" s="44"/>
      <c r="O36" s="44"/>
    </row>
    <row r="37" spans="3:15" x14ac:dyDescent="0.25">
      <c r="I37" s="45"/>
      <c r="J37" s="45"/>
    </row>
    <row r="38" spans="3:15" x14ac:dyDescent="0.25">
      <c r="I38" s="45"/>
      <c r="J38" s="45"/>
    </row>
    <row r="39" spans="3:15" x14ac:dyDescent="0.25">
      <c r="I39" s="45"/>
      <c r="J39" s="45"/>
    </row>
    <row r="40" spans="3:15" x14ac:dyDescent="0.25">
      <c r="I40" s="45"/>
      <c r="J40" s="45"/>
    </row>
    <row r="41" spans="3:15" x14ac:dyDescent="0.25">
      <c r="I41" s="45"/>
      <c r="J41" s="45"/>
    </row>
    <row r="42" spans="3:15" x14ac:dyDescent="0.25">
      <c r="I42" s="45"/>
      <c r="J42" s="45"/>
    </row>
    <row r="43" spans="3:15" x14ac:dyDescent="0.25">
      <c r="I43" s="45"/>
      <c r="J43" s="45"/>
    </row>
    <row r="44" spans="3:15" x14ac:dyDescent="0.25">
      <c r="I44" s="45"/>
      <c r="J44" s="45"/>
    </row>
    <row r="45" spans="3:15" x14ac:dyDescent="0.25">
      <c r="I45" s="45"/>
      <c r="J45" s="45"/>
    </row>
    <row r="46" spans="3:15" x14ac:dyDescent="0.25">
      <c r="I46" s="45"/>
      <c r="J46" s="45"/>
    </row>
    <row r="47" spans="3:15" x14ac:dyDescent="0.25">
      <c r="I47" s="45"/>
      <c r="J47" s="45"/>
    </row>
    <row r="48" spans="3:15" x14ac:dyDescent="0.25">
      <c r="I48" s="45"/>
      <c r="J48" s="45"/>
    </row>
    <row r="49" spans="3:16" x14ac:dyDescent="0.25">
      <c r="C49" s="45"/>
      <c r="D49" s="45"/>
      <c r="E49" s="45"/>
      <c r="F49" s="43" t="s">
        <v>602</v>
      </c>
      <c r="G49" s="43"/>
      <c r="H49" s="43"/>
      <c r="I49" s="43"/>
      <c r="J49" s="43"/>
      <c r="K49" s="45"/>
      <c r="L49" s="45"/>
      <c r="M49" s="45"/>
      <c r="N49" s="45"/>
      <c r="O49" s="45"/>
      <c r="P49" s="45"/>
    </row>
    <row r="50" spans="3:16" x14ac:dyDescent="0.25">
      <c r="C50" s="45"/>
      <c r="D50" s="45"/>
      <c r="E50" s="45"/>
      <c r="F50" s="43"/>
      <c r="G50" s="43"/>
      <c r="H50" s="43"/>
      <c r="I50" s="43"/>
      <c r="J50" s="43"/>
      <c r="K50" s="45"/>
      <c r="L50" s="45"/>
      <c r="M50" s="45"/>
      <c r="N50" s="45"/>
      <c r="O50" s="45"/>
      <c r="P50" s="45"/>
    </row>
  </sheetData>
  <mergeCells count="30">
    <mergeCell ref="F49:J50"/>
    <mergeCell ref="D35:G36"/>
    <mergeCell ref="C35:C36"/>
    <mergeCell ref="H35:I36"/>
    <mergeCell ref="L35:O36"/>
    <mergeCell ref="J35:K36"/>
    <mergeCell ref="I37:J48"/>
    <mergeCell ref="C49:E50"/>
    <mergeCell ref="K49:P50"/>
    <mergeCell ref="F8:K9"/>
    <mergeCell ref="K4:M5"/>
    <mergeCell ref="K6:M7"/>
    <mergeCell ref="B4:D5"/>
    <mergeCell ref="E4:G5"/>
    <mergeCell ref="H4:J5"/>
    <mergeCell ref="B6:D7"/>
    <mergeCell ref="H6:J7"/>
    <mergeCell ref="E6:G7"/>
    <mergeCell ref="C8:E9"/>
    <mergeCell ref="L8:O10"/>
    <mergeCell ref="Q4:S5"/>
    <mergeCell ref="Q6:R7"/>
    <mergeCell ref="S6:S7"/>
    <mergeCell ref="B1:U3"/>
    <mergeCell ref="T4:U5"/>
    <mergeCell ref="T6:T7"/>
    <mergeCell ref="U6:U7"/>
    <mergeCell ref="N4:P5"/>
    <mergeCell ref="N6:O7"/>
    <mergeCell ref="P6:P7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Monthly Trend</vt:lpstr>
      <vt:lpstr>Sentiment</vt:lpstr>
      <vt:lpstr>Raw Data</vt:lpstr>
      <vt:lpstr>Instructions</vt:lpstr>
      <vt:lpstr>Rating</vt:lpstr>
      <vt:lpstr> Feedback by Product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</dc:creator>
  <cp:lastModifiedBy>Abdur  Rahman Dawar</cp:lastModifiedBy>
  <dcterms:created xsi:type="dcterms:W3CDTF">2025-08-18T06:23:05Z</dcterms:created>
  <dcterms:modified xsi:type="dcterms:W3CDTF">2026-06-21T01:28:58Z</dcterms:modified>
</cp:coreProperties>
</file>